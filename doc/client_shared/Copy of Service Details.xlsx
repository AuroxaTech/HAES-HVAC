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Tech Skills Map" sheetId="1" r:id="rId5"/>
    <sheet state="visible" name="Install Timeframe" sheetId="2" r:id="rId6"/>
    <sheet state="visible" name="customer SLA" sheetId="3" r:id="rId7"/>
    <sheet state="hidden" name="Office Spiffs" sheetId="4" r:id="rId8"/>
    <sheet state="hidden" name="Service Techs" sheetId="5" r:id="rId9"/>
    <sheet state="hidden" name="Installers" sheetId="6" r:id="rId10"/>
    <sheet state="hidden" name="Subcontractor" sheetId="7" r:id="rId11"/>
    <sheet state="hidden" name="Sheet6" sheetId="8" r:id="rId12"/>
  </sheets>
  <definedNames>
    <definedName hidden="1" localSheetId="0" name="_xlnm._FilterDatabase">'Service Tech Skills Map'!$A$1:$AC$14</definedName>
  </definedNames>
  <calcPr/>
</workbook>
</file>

<file path=xl/sharedStrings.xml><?xml version="1.0" encoding="utf-8"?>
<sst xmlns="http://schemas.openxmlformats.org/spreadsheetml/2006/main" count="271" uniqueCount="185">
  <si>
    <t>Active/Deactive</t>
  </si>
  <si>
    <t>Name</t>
  </si>
  <si>
    <t>Level</t>
  </si>
  <si>
    <t>Primary Location</t>
  </si>
  <si>
    <t>Secondary Location</t>
  </si>
  <si>
    <t>Third Location</t>
  </si>
  <si>
    <t>Priority 1</t>
  </si>
  <si>
    <t>Priority 2</t>
  </si>
  <si>
    <t>Priority 3</t>
  </si>
  <si>
    <t>min/max calls</t>
  </si>
  <si>
    <t>skills</t>
  </si>
  <si>
    <t>Primary</t>
  </si>
  <si>
    <t>Location:</t>
  </si>
  <si>
    <t>Junior Dikousman</t>
  </si>
  <si>
    <t>Top Tech</t>
  </si>
  <si>
    <t>Home</t>
  </si>
  <si>
    <t>West</t>
  </si>
  <si>
    <t>East</t>
  </si>
  <si>
    <t>Commercial</t>
  </si>
  <si>
    <t>Residential</t>
  </si>
  <si>
    <t>Property Management</t>
  </si>
  <si>
    <t>0/6</t>
  </si>
  <si>
    <t>All</t>
  </si>
  <si>
    <t>Desoto, Red Oak, Lancaster and surrounding areas</t>
  </si>
  <si>
    <t>Bounthon Dikousman</t>
  </si>
  <si>
    <t>Senior Tech</t>
  </si>
  <si>
    <t>Arlington, Grand Prairie, Mansfield and surrounding areas</t>
  </si>
  <si>
    <t>Aubry Ritchie</t>
  </si>
  <si>
    <t>Forney, Rockwall, Mesquite, Garland and surrounding areas</t>
  </si>
  <si>
    <t>Moss Chounlamany</t>
  </si>
  <si>
    <t>Beginner Tech</t>
  </si>
  <si>
    <t>Green tech</t>
  </si>
  <si>
    <t>Rockwall, forney</t>
  </si>
  <si>
    <t>Rockwall, forney, garland, mesquite, and surrounding areas</t>
  </si>
  <si>
    <t>Type of Install</t>
  </si>
  <si>
    <t>Duration (hrs)</t>
  </si>
  <si>
    <t># techs</t>
  </si>
  <si>
    <t>Gas complete</t>
  </si>
  <si>
    <t>2+</t>
  </si>
  <si>
    <t>Heatpump Complete</t>
  </si>
  <si>
    <t>Evap coil and Condenser</t>
  </si>
  <si>
    <t>Furnace and evap coil</t>
  </si>
  <si>
    <t>Air Handler</t>
  </si>
  <si>
    <t>Evaporator coil</t>
  </si>
  <si>
    <t>condenser</t>
  </si>
  <si>
    <t xml:space="preserve">Furnace </t>
  </si>
  <si>
    <t>Return</t>
  </si>
  <si>
    <t>1+</t>
  </si>
  <si>
    <t>Supply</t>
  </si>
  <si>
    <t>Compressor</t>
  </si>
  <si>
    <t>Lineset</t>
  </si>
  <si>
    <t>Warranty coil</t>
  </si>
  <si>
    <t>Drain pan replacement</t>
  </si>
  <si>
    <t>Everything else</t>
  </si>
  <si>
    <t>TBA</t>
  </si>
  <si>
    <t>Service</t>
  </si>
  <si>
    <t>always 4hr time block</t>
  </si>
  <si>
    <t>EMERGENCY</t>
  </si>
  <si>
    <t>24HRS</t>
  </si>
  <si>
    <t>URGENT</t>
  </si>
  <si>
    <t>72HRS</t>
  </si>
  <si>
    <t>ROUTINE</t>
  </si>
  <si>
    <t>7 DAYS</t>
  </si>
  <si>
    <t>Spiffs paid out sold over the phone</t>
  </si>
  <si>
    <t>Res</t>
  </si>
  <si>
    <t>Comm</t>
  </si>
  <si>
    <t>vip agreements</t>
  </si>
  <si>
    <t>10 for 1st system</t>
  </si>
  <si>
    <t>15 for all additional</t>
  </si>
  <si>
    <t>Installs</t>
  </si>
  <si>
    <t>Retail calls booked over 8 calls a day</t>
  </si>
  <si>
    <t>Pay for Property Management</t>
  </si>
  <si>
    <t>Pay for Residential</t>
  </si>
  <si>
    <t>Pay for Commercial</t>
  </si>
  <si>
    <t>Notes</t>
  </si>
  <si>
    <t>Base pay</t>
  </si>
  <si>
    <t>Normal pay is flat rate we pay for our techs to show up to the job and diagnose</t>
  </si>
  <si>
    <t>Base AH Pay</t>
  </si>
  <si>
    <t>Afterhours pay after 5pm to show up and diagnose</t>
  </si>
  <si>
    <t>Sold Commission</t>
  </si>
  <si>
    <t>After parts and materials removed (res and comm)</t>
  </si>
  <si>
    <t>Tune-ups</t>
  </si>
  <si>
    <t>$40/$20</t>
  </si>
  <si>
    <t>40 for 1st system, 20 for each additional</t>
  </si>
  <si>
    <t>Missed appointment</t>
  </si>
  <si>
    <t>Warranty parts Sold</t>
  </si>
  <si>
    <t>Warranty Parts and labor sold</t>
  </si>
  <si>
    <t>Task pay</t>
  </si>
  <si>
    <t>10% - materials</t>
  </si>
  <si>
    <t>20 for 1st system</t>
  </si>
  <si>
    <t>Effective 06/17/2024</t>
  </si>
  <si>
    <t>Sold Commission on equipment</t>
  </si>
  <si>
    <t>Tune-ups (service)</t>
  </si>
  <si>
    <t>$30/$17.50</t>
  </si>
  <si>
    <t>150/day helper 175/day lead</t>
  </si>
  <si>
    <t>15% Basic 17.5 Average 20% Top</t>
  </si>
  <si>
    <t>vip agreements (sold)</t>
  </si>
  <si>
    <t>20 for 1st system 10 addl</t>
  </si>
  <si>
    <t>5% of sold agreement</t>
  </si>
  <si>
    <t>Hourly Pay</t>
  </si>
  <si>
    <t>14 for training</t>
  </si>
  <si>
    <t>PM and Residential Warranty</t>
  </si>
  <si>
    <t>hourly</t>
  </si>
  <si>
    <t>complete gas</t>
  </si>
  <si>
    <t xml:space="preserve">Per each equipment (3) </t>
  </si>
  <si>
    <t>complete electric</t>
  </si>
  <si>
    <t>Per each equipment (2)</t>
  </si>
  <si>
    <t>Minisplit</t>
  </si>
  <si>
    <t>per equipment</t>
  </si>
  <si>
    <t>duct run</t>
  </si>
  <si>
    <t>plenum</t>
  </si>
  <si>
    <t>new return duct</t>
  </si>
  <si>
    <t>Drain Pan</t>
  </si>
  <si>
    <t>All Labor work</t>
  </si>
  <si>
    <t>Office VIP Membership</t>
  </si>
  <si>
    <t>Cut in grille</t>
  </si>
  <si>
    <t>Warranty Compressor</t>
  </si>
  <si>
    <t>Service Port</t>
  </si>
  <si>
    <t>TXV</t>
  </si>
  <si>
    <t>Tstat wire</t>
  </si>
  <si>
    <t>French Drain and Condesation Pump</t>
  </si>
  <si>
    <t>Warranty Evaporator Coils</t>
  </si>
  <si>
    <t>New Construction (day rate)</t>
  </si>
  <si>
    <t>lead 200 helper 144</t>
  </si>
  <si>
    <t>New Construction (half day rate)</t>
  </si>
  <si>
    <t>lead 100 helper 72</t>
  </si>
  <si>
    <t>Subcontractor</t>
  </si>
  <si>
    <t>Jobs</t>
  </si>
  <si>
    <t>Gas Complete</t>
  </si>
  <si>
    <t>Electric Complete</t>
  </si>
  <si>
    <t>Furdown</t>
  </si>
  <si>
    <t>Condenser</t>
  </si>
  <si>
    <t>Furnace</t>
  </si>
  <si>
    <t>Coil</t>
  </si>
  <si>
    <t>AirHandler</t>
  </si>
  <si>
    <t>Furnace and coil</t>
  </si>
  <si>
    <t>Condenser and coil</t>
  </si>
  <si>
    <t>Supply Plenum</t>
  </si>
  <si>
    <t>Return Plenum</t>
  </si>
  <si>
    <t>New Lineset</t>
  </si>
  <si>
    <t>Low voltage wiring</t>
  </si>
  <si>
    <t>txv</t>
  </si>
  <si>
    <t>Filter base</t>
  </si>
  <si>
    <t>Duct run</t>
  </si>
  <si>
    <t>French Drain</t>
  </si>
  <si>
    <t>Running new Drain</t>
  </si>
  <si>
    <t>Decking</t>
  </si>
  <si>
    <t>Recharging system</t>
  </si>
  <si>
    <t>Compressors</t>
  </si>
  <si>
    <t>Warranty Coil</t>
  </si>
  <si>
    <t>Collar ring flashing</t>
  </si>
  <si>
    <t>T stat</t>
  </si>
  <si>
    <t>Mastic seal</t>
  </si>
  <si>
    <t>package unit</t>
  </si>
  <si>
    <t>New Return</t>
  </si>
  <si>
    <t>Ruben</t>
  </si>
  <si>
    <t>1 service call a day and all types of installs</t>
  </si>
  <si>
    <t>60% of all service tickets if he pays for the materials. if he doesnt, then its 60% after parts</t>
  </si>
  <si>
    <t>Ruben covers all his materials expect for equipment and refrigerant</t>
  </si>
  <si>
    <t>Cesar</t>
  </si>
  <si>
    <t>Priority on all sms installs</t>
  </si>
  <si>
    <t>We cover all materials</t>
  </si>
  <si>
    <t>Cristo</t>
  </si>
  <si>
    <t>last resort for any installs</t>
  </si>
  <si>
    <t>We cover the equipment</t>
  </si>
  <si>
    <t>Ricky</t>
  </si>
  <si>
    <t>only condensers and compressors, no attics</t>
  </si>
  <si>
    <t xml:space="preserve">  </t>
  </si>
  <si>
    <t>SEER2</t>
  </si>
  <si>
    <t>Tonnage</t>
  </si>
  <si>
    <t>Price</t>
  </si>
  <si>
    <t>Evap Coil</t>
  </si>
  <si>
    <t>Total Equipment</t>
  </si>
  <si>
    <t>Avg Material Price</t>
  </si>
  <si>
    <t>Expenses</t>
  </si>
  <si>
    <t>Warranty</t>
  </si>
  <si>
    <t>Sub Total</t>
  </si>
  <si>
    <t>Labor</t>
  </si>
  <si>
    <t>SOW Price</t>
  </si>
  <si>
    <t>Growth w/financing</t>
  </si>
  <si>
    <t>W/O Financing</t>
  </si>
  <si>
    <t>Price Point</t>
  </si>
  <si>
    <t>GSXN406010</t>
  </si>
  <si>
    <t>GM9S801005CN</t>
  </si>
  <si>
    <t>CHPT4860D4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</si>
</sst>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&quot;$&quot;#,##0.00"/>
    <numFmt numFmtId="166" formatCode="_-&quot;$&quot;* #,##0.00_-;\-&quot;$&quot;* #,##0.00_-;_-&quot;$&quot;* &quot;-&quot;??_-;_-@"/>
    <numFmt numFmtId="167" formatCode="_(&quot;$&quot;* #,##0.00_);_(&quot;$&quot;* \(#,##0.00\);_(&quot;$&quot;* &quot;-&quot;??_);_(@_)"/>
    <numFmt numFmtId="168" formatCode="0.0"/>
    <numFmt numFmtId="169" formatCode="_-&quot;$&quot;* #,##0.00_-;\-&quot;$&quot;* #,##0.00_-;_-&quot;$&quot;* &quot;-&quot;??.00_-;_-@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1" numFmtId="10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0" xfId="0" applyAlignment="1" applyFont="1" applyNumberFormat="1">
      <alignment readingOrder="0" vertical="bottom"/>
    </xf>
    <xf borderId="0" fillId="0" fontId="3" numFmtId="10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Font="1"/>
    <xf borderId="1" fillId="0" fontId="4" numFmtId="0" xfId="0" applyAlignment="1" applyBorder="1" applyFont="1">
      <alignment readingOrder="0" vertical="bottom"/>
    </xf>
    <xf borderId="2" fillId="3" fontId="5" numFmtId="0" xfId="0" applyAlignment="1" applyBorder="1" applyFill="1" applyFont="1">
      <alignment horizontal="center" vertical="bottom"/>
    </xf>
    <xf borderId="2" fillId="3" fontId="5" numFmtId="166" xfId="0" applyAlignment="1" applyBorder="1" applyFont="1" applyNumberFormat="1">
      <alignment horizontal="center" vertical="bottom"/>
    </xf>
    <xf borderId="2" fillId="3" fontId="5" numFmtId="167" xfId="0" applyAlignment="1" applyBorder="1" applyFont="1" applyNumberFormat="1">
      <alignment horizontal="center" vertical="bottom"/>
    </xf>
    <xf borderId="2" fillId="3" fontId="5" numFmtId="166" xfId="0" applyAlignment="1" applyBorder="1" applyFont="1" applyNumberFormat="1">
      <alignment horizontal="center" readingOrder="0" vertical="bottom"/>
    </xf>
    <xf borderId="2" fillId="4" fontId="5" numFmtId="0" xfId="0" applyAlignment="1" applyBorder="1" applyFill="1" applyFont="1">
      <alignment readingOrder="0" shrinkToFit="0" vertical="bottom" wrapText="1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2" fillId="5" fontId="6" numFmtId="168" xfId="0" applyAlignment="1" applyBorder="1" applyFill="1" applyFont="1" applyNumberFormat="1">
      <alignment horizontal="center" vertical="bottom"/>
    </xf>
    <xf borderId="2" fillId="5" fontId="6" numFmtId="0" xfId="0" applyAlignment="1" applyBorder="1" applyFont="1">
      <alignment horizontal="center" vertical="bottom"/>
    </xf>
    <xf borderId="2" fillId="5" fontId="6" numFmtId="166" xfId="0" applyAlignment="1" applyBorder="1" applyFont="1" applyNumberFormat="1">
      <alignment horizontal="right" vertical="bottom"/>
    </xf>
    <xf borderId="2" fillId="0" fontId="6" numFmtId="0" xfId="0" applyAlignment="1" applyBorder="1" applyFont="1">
      <alignment horizontal="center" vertical="bottom"/>
    </xf>
    <xf borderId="2" fillId="5" fontId="6" numFmtId="166" xfId="0" applyAlignment="1" applyBorder="1" applyFont="1" applyNumberFormat="1">
      <alignment vertical="bottom"/>
    </xf>
    <xf borderId="2" fillId="0" fontId="6" numFmtId="167" xfId="0" applyAlignment="1" applyBorder="1" applyFont="1" applyNumberFormat="1">
      <alignment horizontal="center" vertical="bottom"/>
    </xf>
    <xf borderId="2" fillId="0" fontId="6" numFmtId="167" xfId="0" applyAlignment="1" applyBorder="1" applyFont="1" applyNumberFormat="1">
      <alignment horizontal="center" readingOrder="0" vertical="bottom"/>
    </xf>
    <xf borderId="2" fillId="5" fontId="6" numFmtId="166" xfId="0" applyAlignment="1" applyBorder="1" applyFont="1" applyNumberFormat="1">
      <alignment horizontal="center" vertical="bottom"/>
    </xf>
    <xf borderId="2" fillId="5" fontId="6" numFmtId="166" xfId="0" applyAlignment="1" applyBorder="1" applyFont="1" applyNumberFormat="1">
      <alignment horizontal="right" readingOrder="0" vertical="bottom"/>
    </xf>
    <xf borderId="2" fillId="5" fontId="5" numFmtId="166" xfId="0" applyAlignment="1" applyBorder="1" applyFont="1" applyNumberFormat="1">
      <alignment vertical="bottom"/>
    </xf>
    <xf borderId="3" fillId="5" fontId="6" numFmtId="166" xfId="0" applyAlignment="1" applyBorder="1" applyFont="1" applyNumberFormat="1">
      <alignment horizontal="right" readingOrder="0" vertical="bottom"/>
    </xf>
    <xf borderId="2" fillId="5" fontId="6" numFmtId="166" xfId="0" applyAlignment="1" applyBorder="1" applyFont="1" applyNumberFormat="1">
      <alignment readingOrder="0" vertical="bottom"/>
    </xf>
    <xf borderId="3" fillId="5" fontId="7" numFmtId="169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4" max="4" width="13.5"/>
    <col customWidth="1" min="5" max="5" width="15.75"/>
    <col customWidth="1" min="7" max="9" width="22.38"/>
    <col customWidth="1" min="10" max="10" width="14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b">
        <v>0</v>
      </c>
      <c r="B2" s="2" t="s">
        <v>13</v>
      </c>
      <c r="C2" s="1" t="s">
        <v>14</v>
      </c>
      <c r="D2" s="2" t="s">
        <v>15</v>
      </c>
      <c r="E2" s="2" t="s">
        <v>16</v>
      </c>
      <c r="F2" s="2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 t="s">
        <v>22</v>
      </c>
      <c r="L2" s="2"/>
      <c r="M2" s="2" t="s">
        <v>15</v>
      </c>
      <c r="N2" s="3" t="s">
        <v>23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 t="b">
        <v>0</v>
      </c>
      <c r="B3" s="2" t="s">
        <v>24</v>
      </c>
      <c r="C3" s="1" t="s">
        <v>25</v>
      </c>
      <c r="D3" s="1" t="s">
        <v>16</v>
      </c>
      <c r="E3" s="1" t="s">
        <v>17</v>
      </c>
      <c r="F3" s="1" t="s">
        <v>15</v>
      </c>
      <c r="G3" s="2" t="s">
        <v>19</v>
      </c>
      <c r="H3" s="2" t="s">
        <v>18</v>
      </c>
      <c r="I3" s="2" t="s">
        <v>20</v>
      </c>
      <c r="J3" s="4">
        <v>46059.0</v>
      </c>
      <c r="K3" s="1" t="s">
        <v>22</v>
      </c>
      <c r="L3" s="2"/>
      <c r="M3" s="2" t="s">
        <v>16</v>
      </c>
      <c r="N3" s="3" t="s">
        <v>26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idden="1">
      <c r="A4" s="2" t="b">
        <v>0</v>
      </c>
      <c r="B4" s="2" t="s">
        <v>27</v>
      </c>
      <c r="C4" s="2" t="s">
        <v>25</v>
      </c>
      <c r="D4" s="2" t="s">
        <v>17</v>
      </c>
      <c r="E4" s="2" t="s">
        <v>15</v>
      </c>
      <c r="F4" s="2" t="s">
        <v>16</v>
      </c>
      <c r="G4" s="2" t="s">
        <v>20</v>
      </c>
      <c r="H4" s="2" t="s">
        <v>19</v>
      </c>
      <c r="I4" s="2" t="s">
        <v>18</v>
      </c>
      <c r="J4" s="2"/>
      <c r="K4" s="2"/>
      <c r="L4" s="2"/>
      <c r="M4" s="2" t="s">
        <v>17</v>
      </c>
      <c r="N4" s="3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idden="1">
      <c r="A5" s="1" t="b">
        <v>1</v>
      </c>
      <c r="B5" s="2" t="s">
        <v>29</v>
      </c>
      <c r="C5" s="1" t="s">
        <v>30</v>
      </c>
      <c r="D5" s="2" t="s">
        <v>16</v>
      </c>
      <c r="E5" s="2" t="s">
        <v>15</v>
      </c>
      <c r="F5" s="2" t="s">
        <v>17</v>
      </c>
      <c r="G5" s="2" t="s">
        <v>20</v>
      </c>
      <c r="H5" s="2" t="s">
        <v>20</v>
      </c>
      <c r="I5" s="2" t="s">
        <v>20</v>
      </c>
      <c r="J5" s="2"/>
      <c r="K5" s="2" t="s">
        <v>31</v>
      </c>
      <c r="L5" s="2"/>
      <c r="M5" s="1" t="s">
        <v>17</v>
      </c>
      <c r="N5" s="1" t="s">
        <v>32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b">
        <v>0</v>
      </c>
      <c r="B6" s="1" t="s">
        <v>27</v>
      </c>
      <c r="C6" s="1" t="s">
        <v>25</v>
      </c>
      <c r="D6" s="1" t="s">
        <v>17</v>
      </c>
      <c r="E6" s="1" t="s">
        <v>15</v>
      </c>
      <c r="F6" s="1" t="s">
        <v>16</v>
      </c>
      <c r="G6" s="1" t="s">
        <v>20</v>
      </c>
      <c r="H6" s="1" t="s">
        <v>19</v>
      </c>
      <c r="I6" s="1" t="s">
        <v>18</v>
      </c>
      <c r="J6" s="4">
        <v>46026.0</v>
      </c>
      <c r="K6" s="1" t="s">
        <v>22</v>
      </c>
      <c r="L6" s="2"/>
      <c r="M6" s="1" t="s">
        <v>17</v>
      </c>
      <c r="N6" s="1" t="s">
        <v>33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 t="b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 t="b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 t="b">
        <v>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 t="b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 t="b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 t="b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 t="b">
        <v>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 t="b">
        <v>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autoFilter ref="$A$1:$AC$14">
    <filterColumn colId="0">
      <filters>
        <filter val="FALSE"/>
      </filters>
    </filterColumn>
  </autoFilter>
  <dataValidations>
    <dataValidation type="list" allowBlank="1" showErrorMessage="1" sqref="G2:I10">
      <formula1>"Residential,Property Management,Commercial"</formula1>
    </dataValidation>
    <dataValidation type="list" allowBlank="1" showErrorMessage="1" sqref="D2:F10">
      <formula1>"Home,West,East"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2" t="s">
        <v>34</v>
      </c>
      <c r="B1" s="2" t="s">
        <v>35</v>
      </c>
      <c r="C1" s="2" t="s">
        <v>36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37</v>
      </c>
      <c r="B2" s="5">
        <v>8.0</v>
      </c>
      <c r="C2" s="2" t="s">
        <v>38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39</v>
      </c>
      <c r="B3" s="5">
        <v>8.0</v>
      </c>
      <c r="C3" s="2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40</v>
      </c>
      <c r="B4" s="5">
        <v>6.0</v>
      </c>
      <c r="C4" s="2" t="s">
        <v>38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41</v>
      </c>
      <c r="B5" s="5">
        <v>6.0</v>
      </c>
      <c r="C5" s="2" t="s">
        <v>38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42</v>
      </c>
      <c r="B6" s="5">
        <v>5.0</v>
      </c>
      <c r="C6" s="2" t="s">
        <v>38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43</v>
      </c>
      <c r="B7" s="5">
        <v>4.0</v>
      </c>
      <c r="C7" s="5">
        <v>1.0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44</v>
      </c>
      <c r="B8" s="5">
        <v>4.0</v>
      </c>
      <c r="C8" s="5">
        <v>1.0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45</v>
      </c>
      <c r="B9" s="5">
        <v>4.0</v>
      </c>
      <c r="C9" s="5">
        <v>2.0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46</v>
      </c>
      <c r="B10" s="5">
        <v>4.0</v>
      </c>
      <c r="C10" s="2" t="s">
        <v>47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48</v>
      </c>
      <c r="B11" s="5">
        <v>4.0</v>
      </c>
      <c r="C11" s="2" t="s">
        <v>47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49</v>
      </c>
      <c r="B12" s="5">
        <v>4.0</v>
      </c>
      <c r="C12" s="5">
        <v>1.0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50</v>
      </c>
      <c r="B13" s="5">
        <v>4.0</v>
      </c>
      <c r="C13" s="2" t="s">
        <v>47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51</v>
      </c>
      <c r="B14" s="5">
        <v>4.0</v>
      </c>
      <c r="C14" s="2" t="s">
        <v>47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52</v>
      </c>
      <c r="B15" s="5">
        <v>4.0</v>
      </c>
      <c r="C15" s="2" t="s">
        <v>47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53</v>
      </c>
      <c r="B16" s="5">
        <v>4.0</v>
      </c>
      <c r="C16" s="2" t="s">
        <v>54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8">
      <c r="A18" s="6" t="s">
        <v>55</v>
      </c>
      <c r="B18" s="7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57</v>
      </c>
      <c r="B1" s="7" t="s">
        <v>58</v>
      </c>
    </row>
    <row r="2">
      <c r="A2" s="7" t="s">
        <v>59</v>
      </c>
      <c r="B2" s="7" t="s">
        <v>60</v>
      </c>
    </row>
    <row r="3">
      <c r="A3" s="7" t="s">
        <v>61</v>
      </c>
      <c r="B3" s="7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3.63"/>
    <col customWidth="1" min="3" max="3" width="15.0"/>
  </cols>
  <sheetData>
    <row r="1">
      <c r="A1" s="6" t="s">
        <v>63</v>
      </c>
      <c r="B1" s="7" t="s">
        <v>64</v>
      </c>
      <c r="C1" s="7" t="s">
        <v>64</v>
      </c>
      <c r="D1" s="7" t="s">
        <v>65</v>
      </c>
      <c r="E1" s="7" t="s">
        <v>65</v>
      </c>
    </row>
    <row r="2">
      <c r="A2" s="7" t="s">
        <v>66</v>
      </c>
      <c r="B2" s="7" t="s">
        <v>67</v>
      </c>
      <c r="C2" s="7" t="s">
        <v>68</v>
      </c>
    </row>
    <row r="3">
      <c r="A3" s="7" t="s">
        <v>69</v>
      </c>
      <c r="B3" s="7">
        <v>100.0</v>
      </c>
    </row>
    <row r="4">
      <c r="A4" s="7" t="s">
        <v>70</v>
      </c>
      <c r="B4" s="7">
        <v>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6.13"/>
    <col customWidth="1" min="4" max="4" width="26.13"/>
    <col customWidth="1" min="6" max="6" width="26.13"/>
    <col customWidth="1" min="8" max="8" width="59.0"/>
  </cols>
  <sheetData>
    <row r="1" hidden="1">
      <c r="A1" s="2"/>
      <c r="B1" s="8" t="s">
        <v>71</v>
      </c>
      <c r="C1" s="2"/>
      <c r="D1" s="8" t="s">
        <v>72</v>
      </c>
      <c r="F1" s="7" t="s">
        <v>73</v>
      </c>
      <c r="H1" s="7" t="s">
        <v>74</v>
      </c>
    </row>
    <row r="2" hidden="1">
      <c r="A2" s="1" t="s">
        <v>75</v>
      </c>
      <c r="B2" s="9">
        <v>25.0</v>
      </c>
      <c r="C2" s="2"/>
      <c r="D2" s="9">
        <v>30.0</v>
      </c>
      <c r="F2" s="9">
        <v>35.0</v>
      </c>
      <c r="H2" s="7" t="s">
        <v>76</v>
      </c>
    </row>
    <row r="3" hidden="1">
      <c r="A3" s="1" t="s">
        <v>77</v>
      </c>
      <c r="B3" s="9">
        <v>35.0</v>
      </c>
      <c r="C3" s="2"/>
      <c r="D3" s="9">
        <v>40.0</v>
      </c>
      <c r="F3" s="10">
        <v>45.0</v>
      </c>
      <c r="H3" s="7" t="s">
        <v>78</v>
      </c>
    </row>
    <row r="4" hidden="1">
      <c r="A4" s="1" t="s">
        <v>79</v>
      </c>
      <c r="B4" s="9">
        <v>25.0</v>
      </c>
      <c r="C4" s="2"/>
      <c r="D4" s="11">
        <v>0.05</v>
      </c>
      <c r="F4" s="12">
        <v>0.03</v>
      </c>
      <c r="H4" s="7" t="s">
        <v>80</v>
      </c>
    </row>
    <row r="5" hidden="1">
      <c r="A5" s="2" t="s">
        <v>81</v>
      </c>
      <c r="B5" s="10">
        <v>25.0</v>
      </c>
      <c r="C5" s="2"/>
      <c r="D5" s="13" t="s">
        <v>82</v>
      </c>
      <c r="F5" s="13" t="s">
        <v>82</v>
      </c>
      <c r="H5" s="7" t="s">
        <v>83</v>
      </c>
    </row>
    <row r="6" hidden="1">
      <c r="A6" s="2" t="s">
        <v>84</v>
      </c>
      <c r="B6" s="9">
        <v>5.0</v>
      </c>
      <c r="C6" s="2"/>
      <c r="D6" s="1">
        <v>12.5</v>
      </c>
      <c r="F6" s="7">
        <v>12.5</v>
      </c>
    </row>
    <row r="7" hidden="1">
      <c r="A7" s="2" t="s">
        <v>85</v>
      </c>
      <c r="B7" s="9">
        <v>25.0</v>
      </c>
      <c r="C7" s="2"/>
      <c r="D7" s="14">
        <v>0.025</v>
      </c>
      <c r="F7" s="15">
        <v>0.025</v>
      </c>
    </row>
    <row r="8" hidden="1">
      <c r="A8" s="2" t="s">
        <v>86</v>
      </c>
      <c r="B8" s="2"/>
      <c r="C8" s="2"/>
      <c r="D8" s="2"/>
    </row>
    <row r="9" hidden="1">
      <c r="A9" s="7" t="s">
        <v>87</v>
      </c>
      <c r="B9" s="7" t="s">
        <v>88</v>
      </c>
      <c r="D9" s="7" t="s">
        <v>88</v>
      </c>
      <c r="F9" s="7" t="s">
        <v>88</v>
      </c>
    </row>
    <row r="10" hidden="1">
      <c r="A10" s="7" t="s">
        <v>66</v>
      </c>
      <c r="D10" s="7" t="s">
        <v>89</v>
      </c>
      <c r="E10" s="7" t="s">
        <v>68</v>
      </c>
      <c r="F10" s="7">
        <v>20.0</v>
      </c>
    </row>
    <row r="13">
      <c r="A13" s="16" t="s">
        <v>90</v>
      </c>
    </row>
    <row r="14">
      <c r="A14" s="1" t="s">
        <v>75</v>
      </c>
      <c r="B14" s="9">
        <v>25.0</v>
      </c>
      <c r="C14" s="2"/>
      <c r="D14" s="9">
        <v>25.0</v>
      </c>
      <c r="F14" s="9">
        <v>25.0</v>
      </c>
      <c r="H14" s="7" t="s">
        <v>76</v>
      </c>
    </row>
    <row r="15">
      <c r="A15" s="1" t="s">
        <v>91</v>
      </c>
      <c r="B15" s="9">
        <v>25.0</v>
      </c>
      <c r="C15" s="2"/>
      <c r="D15" s="11">
        <v>0.05</v>
      </c>
      <c r="F15" s="12">
        <v>0.03</v>
      </c>
      <c r="H15" s="7" t="s">
        <v>80</v>
      </c>
    </row>
    <row r="16">
      <c r="A16" s="1" t="s">
        <v>92</v>
      </c>
      <c r="B16" s="10">
        <v>25.0</v>
      </c>
      <c r="C16" s="2"/>
      <c r="D16" s="13" t="s">
        <v>93</v>
      </c>
      <c r="F16" s="7" t="s">
        <v>94</v>
      </c>
      <c r="H16" s="7" t="s">
        <v>83</v>
      </c>
    </row>
    <row r="17">
      <c r="A17" s="2" t="s">
        <v>84</v>
      </c>
      <c r="B17" s="13">
        <v>10.0</v>
      </c>
      <c r="C17" s="2"/>
      <c r="D17" s="1">
        <v>0.0</v>
      </c>
      <c r="F17" s="7">
        <v>12.5</v>
      </c>
    </row>
    <row r="18">
      <c r="A18" s="2" t="s">
        <v>85</v>
      </c>
      <c r="B18" s="9">
        <v>25.0</v>
      </c>
      <c r="C18" s="2"/>
      <c r="D18" s="14"/>
      <c r="F18" s="15">
        <v>0.025</v>
      </c>
    </row>
    <row r="19">
      <c r="A19" s="2" t="s">
        <v>86</v>
      </c>
      <c r="B19" s="2"/>
      <c r="C19" s="2"/>
      <c r="D19" s="2"/>
    </row>
    <row r="20">
      <c r="A20" s="7" t="s">
        <v>87</v>
      </c>
      <c r="B20" s="7" t="s">
        <v>95</v>
      </c>
      <c r="D20" s="7" t="s">
        <v>95</v>
      </c>
      <c r="F20" s="7" t="s">
        <v>95</v>
      </c>
    </row>
    <row r="21">
      <c r="A21" s="7" t="s">
        <v>96</v>
      </c>
      <c r="D21" s="7" t="s">
        <v>97</v>
      </c>
      <c r="F21" s="7" t="s">
        <v>98</v>
      </c>
    </row>
    <row r="22">
      <c r="A22" s="7" t="s">
        <v>99</v>
      </c>
      <c r="B22" s="7" t="s">
        <v>100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7.5"/>
    <col customWidth="1" min="5" max="5" width="18.88"/>
  </cols>
  <sheetData>
    <row r="1">
      <c r="A1" s="2"/>
      <c r="B1" s="8" t="s">
        <v>20</v>
      </c>
      <c r="C1" s="1" t="s">
        <v>19</v>
      </c>
      <c r="D1" s="7" t="s">
        <v>18</v>
      </c>
      <c r="E1" s="7" t="s">
        <v>74</v>
      </c>
    </row>
    <row r="2">
      <c r="A2" s="2" t="s">
        <v>101</v>
      </c>
      <c r="B2" s="5">
        <v>175.0</v>
      </c>
      <c r="C2" s="2"/>
      <c r="D2" s="7" t="s">
        <v>102</v>
      </c>
    </row>
    <row r="3">
      <c r="A3" s="2" t="s">
        <v>50</v>
      </c>
      <c r="B3" s="5">
        <v>200.0</v>
      </c>
      <c r="C3" s="2"/>
      <c r="D3" s="7" t="s">
        <v>102</v>
      </c>
    </row>
    <row r="4">
      <c r="A4" s="2" t="s">
        <v>103</v>
      </c>
      <c r="B4" s="8">
        <v>250.0</v>
      </c>
      <c r="C4" s="8">
        <v>300.0</v>
      </c>
      <c r="D4" s="7" t="s">
        <v>102</v>
      </c>
      <c r="E4" s="7" t="s">
        <v>104</v>
      </c>
    </row>
    <row r="5">
      <c r="A5" s="2" t="s">
        <v>105</v>
      </c>
      <c r="B5" s="8">
        <v>250.0</v>
      </c>
      <c r="C5" s="8">
        <v>300.0</v>
      </c>
      <c r="D5" s="7" t="s">
        <v>102</v>
      </c>
      <c r="E5" s="7" t="s">
        <v>106</v>
      </c>
    </row>
    <row r="6">
      <c r="A6" s="1" t="s">
        <v>107</v>
      </c>
      <c r="B6" s="8">
        <v>250.0</v>
      </c>
      <c r="C6" s="1">
        <v>250.0</v>
      </c>
      <c r="D6" s="7">
        <v>250.0</v>
      </c>
      <c r="E6" s="7" t="s">
        <v>108</v>
      </c>
    </row>
    <row r="7">
      <c r="A7" s="2" t="s">
        <v>109</v>
      </c>
      <c r="B7" s="5">
        <v>100.0</v>
      </c>
      <c r="C7" s="2"/>
      <c r="D7" s="7" t="s">
        <v>102</v>
      </c>
    </row>
    <row r="8">
      <c r="A8" s="2" t="s">
        <v>110</v>
      </c>
      <c r="B8" s="5">
        <v>50.0</v>
      </c>
      <c r="C8" s="2"/>
      <c r="D8" s="7" t="s">
        <v>102</v>
      </c>
    </row>
    <row r="9">
      <c r="A9" s="2" t="s">
        <v>111</v>
      </c>
      <c r="B9" s="5">
        <v>150.0</v>
      </c>
      <c r="C9" s="2"/>
      <c r="D9" s="7" t="s">
        <v>102</v>
      </c>
    </row>
    <row r="10">
      <c r="A10" s="2" t="s">
        <v>112</v>
      </c>
      <c r="B10" s="5">
        <v>50.0</v>
      </c>
      <c r="C10" s="2"/>
      <c r="D10" s="7" t="s">
        <v>102</v>
      </c>
    </row>
    <row r="11">
      <c r="A11" s="2" t="s">
        <v>113</v>
      </c>
      <c r="B11" s="5">
        <v>50.0</v>
      </c>
      <c r="C11" s="2"/>
      <c r="D11" s="7" t="s">
        <v>102</v>
      </c>
    </row>
    <row r="12">
      <c r="A12" s="2" t="s">
        <v>114</v>
      </c>
      <c r="B12" s="8">
        <v>10.0</v>
      </c>
      <c r="C12" s="2"/>
      <c r="D12" s="7" t="s">
        <v>102</v>
      </c>
    </row>
    <row r="13">
      <c r="A13" s="5">
        <v>22.18</v>
      </c>
      <c r="B13" s="2"/>
      <c r="C13" s="2"/>
      <c r="D13" s="7" t="s">
        <v>102</v>
      </c>
    </row>
    <row r="14">
      <c r="A14" s="5">
        <v>67.08</v>
      </c>
      <c r="B14" s="2"/>
      <c r="C14" s="2"/>
      <c r="D14" s="7" t="s">
        <v>102</v>
      </c>
    </row>
    <row r="15">
      <c r="A15" s="1" t="s">
        <v>115</v>
      </c>
      <c r="B15" s="8">
        <v>45.0</v>
      </c>
      <c r="C15" s="2"/>
      <c r="D15" s="7" t="s">
        <v>102</v>
      </c>
    </row>
    <row r="16">
      <c r="A16" s="1" t="s">
        <v>116</v>
      </c>
      <c r="B16" s="8">
        <v>200.0</v>
      </c>
      <c r="C16" s="1">
        <v>250.0</v>
      </c>
      <c r="D16" s="7">
        <v>300.0</v>
      </c>
    </row>
    <row r="17">
      <c r="A17" s="2" t="s">
        <v>117</v>
      </c>
      <c r="B17" s="5">
        <v>75.0</v>
      </c>
      <c r="C17" s="2"/>
      <c r="D17" s="7" t="s">
        <v>102</v>
      </c>
    </row>
    <row r="18">
      <c r="A18" s="2" t="s">
        <v>118</v>
      </c>
      <c r="B18" s="5">
        <v>75.0</v>
      </c>
      <c r="C18" s="2"/>
      <c r="D18" s="7" t="s">
        <v>102</v>
      </c>
    </row>
    <row r="19">
      <c r="A19" s="7" t="s">
        <v>119</v>
      </c>
      <c r="B19" s="7">
        <v>50.0</v>
      </c>
    </row>
    <row r="20">
      <c r="A20" s="7" t="s">
        <v>120</v>
      </c>
      <c r="B20" s="7">
        <v>120.0</v>
      </c>
    </row>
    <row r="21">
      <c r="A21" s="7" t="s">
        <v>121</v>
      </c>
      <c r="B21" s="7">
        <v>150.0</v>
      </c>
    </row>
    <row r="22">
      <c r="A22" s="7" t="s">
        <v>122</v>
      </c>
      <c r="D22" s="7" t="s">
        <v>123</v>
      </c>
    </row>
    <row r="23">
      <c r="A23" s="7" t="s">
        <v>124</v>
      </c>
      <c r="D23" s="7" t="s">
        <v>125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14.0"/>
    <col customWidth="1" min="11" max="11" width="15.38"/>
    <col customWidth="1" min="15" max="15" width="14.75"/>
    <col customWidth="1" min="20" max="20" width="15.13"/>
    <col customWidth="1" min="25" max="25" width="14.75"/>
    <col customWidth="1" min="29" max="31" width="35.88"/>
    <col customWidth="1" min="32" max="32" width="30.63"/>
  </cols>
  <sheetData>
    <row r="1">
      <c r="A1" s="6" t="s">
        <v>126</v>
      </c>
      <c r="B1" s="17" t="s">
        <v>127</v>
      </c>
      <c r="C1" s="7" t="s">
        <v>128</v>
      </c>
      <c r="D1" s="7" t="s">
        <v>129</v>
      </c>
      <c r="E1" s="7" t="s">
        <v>130</v>
      </c>
      <c r="F1" s="7" t="s">
        <v>131</v>
      </c>
      <c r="G1" s="7" t="s">
        <v>132</v>
      </c>
      <c r="H1" s="7" t="s">
        <v>133</v>
      </c>
      <c r="I1" s="7" t="s">
        <v>134</v>
      </c>
      <c r="J1" s="7" t="s">
        <v>135</v>
      </c>
      <c r="K1" s="7" t="s">
        <v>136</v>
      </c>
      <c r="L1" s="7" t="s">
        <v>137</v>
      </c>
      <c r="M1" s="7" t="s">
        <v>138</v>
      </c>
      <c r="N1" s="7" t="s">
        <v>139</v>
      </c>
      <c r="O1" s="7" t="s">
        <v>140</v>
      </c>
      <c r="P1" s="7" t="s">
        <v>141</v>
      </c>
      <c r="Q1" s="7" t="s">
        <v>142</v>
      </c>
      <c r="R1" s="7" t="s">
        <v>143</v>
      </c>
      <c r="S1" s="7" t="s">
        <v>144</v>
      </c>
      <c r="T1" s="7" t="s">
        <v>145</v>
      </c>
      <c r="U1" s="7" t="s">
        <v>146</v>
      </c>
      <c r="V1" s="7" t="s">
        <v>147</v>
      </c>
      <c r="W1" s="7" t="s">
        <v>148</v>
      </c>
      <c r="X1" s="7" t="s">
        <v>149</v>
      </c>
      <c r="Y1" s="7" t="s">
        <v>150</v>
      </c>
      <c r="Z1" s="7" t="s">
        <v>151</v>
      </c>
      <c r="AA1" s="7" t="s">
        <v>152</v>
      </c>
      <c r="AB1" s="7" t="s">
        <v>153</v>
      </c>
      <c r="AC1" s="17" t="s">
        <v>154</v>
      </c>
      <c r="AD1" s="17" t="s">
        <v>117</v>
      </c>
      <c r="AE1" s="17" t="s">
        <v>55</v>
      </c>
      <c r="AF1" s="17" t="s">
        <v>74</v>
      </c>
    </row>
    <row r="2">
      <c r="A2" s="6" t="s">
        <v>155</v>
      </c>
      <c r="B2" s="17" t="s">
        <v>156</v>
      </c>
      <c r="C2" s="7">
        <v>1200.0</v>
      </c>
      <c r="D2" s="7">
        <v>800.0</v>
      </c>
      <c r="E2" s="7">
        <v>675.0</v>
      </c>
      <c r="F2" s="7">
        <v>400.0</v>
      </c>
      <c r="G2" s="7">
        <v>400.0</v>
      </c>
      <c r="H2" s="7">
        <v>400.0</v>
      </c>
      <c r="I2" s="7">
        <v>400.0</v>
      </c>
      <c r="J2" s="7">
        <v>800.0</v>
      </c>
      <c r="K2" s="7">
        <v>800.0</v>
      </c>
      <c r="L2" s="7">
        <v>95.0</v>
      </c>
      <c r="N2" s="7">
        <v>250.0</v>
      </c>
      <c r="O2" s="7">
        <v>120.0</v>
      </c>
      <c r="P2" s="7">
        <v>250.0</v>
      </c>
      <c r="R2" s="7">
        <v>55.0</v>
      </c>
      <c r="W2" s="7">
        <v>275.0</v>
      </c>
      <c r="AB2" s="7">
        <v>725.0</v>
      </c>
      <c r="AC2" s="17">
        <v>200.0</v>
      </c>
      <c r="AD2" s="17"/>
      <c r="AE2" s="17" t="s">
        <v>157</v>
      </c>
      <c r="AF2" s="17" t="s">
        <v>158</v>
      </c>
    </row>
    <row r="3">
      <c r="A3" s="6" t="s">
        <v>159</v>
      </c>
      <c r="B3" s="17" t="s">
        <v>160</v>
      </c>
      <c r="C3" s="7">
        <v>1200.0</v>
      </c>
      <c r="D3" s="7">
        <v>800.0</v>
      </c>
      <c r="E3" s="7">
        <v>675.0</v>
      </c>
      <c r="F3" s="7">
        <v>400.0</v>
      </c>
      <c r="G3" s="7">
        <v>400.0</v>
      </c>
      <c r="H3" s="7">
        <v>400.0</v>
      </c>
      <c r="I3" s="7">
        <v>400.0</v>
      </c>
      <c r="J3" s="7">
        <v>800.0</v>
      </c>
      <c r="K3" s="7">
        <v>800.0</v>
      </c>
      <c r="L3" s="7">
        <v>150.0</v>
      </c>
      <c r="M3" s="7">
        <v>115.0</v>
      </c>
      <c r="N3" s="7">
        <v>240.0</v>
      </c>
      <c r="O3" s="7">
        <v>90.0</v>
      </c>
      <c r="P3" s="7"/>
      <c r="Q3" s="7">
        <v>30.0</v>
      </c>
      <c r="R3" s="7">
        <v>35.0</v>
      </c>
      <c r="S3" s="7">
        <v>150.0</v>
      </c>
      <c r="T3" s="7">
        <v>150.0</v>
      </c>
      <c r="U3" s="7">
        <v>50.0</v>
      </c>
      <c r="V3" s="7">
        <v>0.0</v>
      </c>
      <c r="W3" s="7">
        <v>275.0</v>
      </c>
      <c r="X3" s="7">
        <v>275.0</v>
      </c>
      <c r="Y3" s="7">
        <v>180.0</v>
      </c>
      <c r="Z3" s="7">
        <v>30.0</v>
      </c>
      <c r="AA3" s="7">
        <v>40.0</v>
      </c>
      <c r="AB3" s="7">
        <v>780.0</v>
      </c>
      <c r="AC3" s="17">
        <v>200.0</v>
      </c>
      <c r="AD3" s="18"/>
      <c r="AE3" s="18"/>
      <c r="AF3" s="17" t="s">
        <v>161</v>
      </c>
    </row>
    <row r="4">
      <c r="A4" s="6" t="s">
        <v>162</v>
      </c>
      <c r="B4" s="17" t="s">
        <v>163</v>
      </c>
      <c r="AC4" s="18"/>
      <c r="AD4" s="17">
        <v>150.0</v>
      </c>
      <c r="AE4" s="18"/>
      <c r="AF4" s="17" t="s">
        <v>164</v>
      </c>
    </row>
    <row r="5">
      <c r="A5" s="6" t="s">
        <v>165</v>
      </c>
      <c r="B5" s="17" t="s">
        <v>166</v>
      </c>
      <c r="C5" s="7">
        <v>0.0</v>
      </c>
      <c r="D5" s="7">
        <v>0.0</v>
      </c>
      <c r="E5" s="7"/>
      <c r="F5" s="7">
        <v>400.0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W5" s="7">
        <v>275.0</v>
      </c>
      <c r="AC5" s="18"/>
      <c r="AD5" s="18"/>
      <c r="AE5" s="18"/>
      <c r="AF5" s="17" t="s">
        <v>161</v>
      </c>
    </row>
    <row r="6">
      <c r="A6" s="19"/>
      <c r="B6" s="18"/>
      <c r="AC6" s="18"/>
      <c r="AD6" s="18"/>
      <c r="AE6" s="18"/>
      <c r="AF6" s="18"/>
    </row>
    <row r="7">
      <c r="A7" s="19"/>
      <c r="B7" s="18"/>
      <c r="AC7" s="18"/>
      <c r="AD7" s="18"/>
      <c r="AE7" s="18"/>
      <c r="AF7" s="18"/>
    </row>
    <row r="8">
      <c r="A8" s="19"/>
      <c r="B8" s="18"/>
      <c r="AC8" s="18"/>
      <c r="AD8" s="18"/>
      <c r="AE8" s="18"/>
      <c r="AF8" s="18"/>
    </row>
    <row r="9">
      <c r="A9" s="19"/>
      <c r="B9" s="18"/>
      <c r="AC9" s="18"/>
      <c r="AD9" s="18"/>
      <c r="AE9" s="18"/>
      <c r="AF9" s="18"/>
    </row>
    <row r="10">
      <c r="A10" s="19"/>
      <c r="B10" s="18"/>
      <c r="AC10" s="18"/>
      <c r="AD10" s="18"/>
      <c r="AE10" s="18"/>
      <c r="AF10" s="18"/>
    </row>
    <row r="11">
      <c r="A11" s="19"/>
      <c r="B11" s="18"/>
      <c r="AC11" s="18"/>
      <c r="AD11" s="18"/>
      <c r="AE11" s="18"/>
      <c r="AF11" s="18"/>
    </row>
    <row r="12">
      <c r="A12" s="19"/>
      <c r="B12" s="18"/>
      <c r="AC12" s="18"/>
      <c r="AD12" s="18"/>
      <c r="AE12" s="18"/>
      <c r="AF12" s="18"/>
    </row>
    <row r="13">
      <c r="A13" s="19"/>
      <c r="B13" s="18"/>
      <c r="AC13" s="18"/>
      <c r="AD13" s="18"/>
      <c r="AE13" s="18"/>
      <c r="AF13" s="18"/>
    </row>
    <row r="14">
      <c r="A14" s="19"/>
      <c r="B14" s="18"/>
      <c r="AC14" s="18"/>
      <c r="AD14" s="18"/>
      <c r="AE14" s="18"/>
      <c r="AF14" s="18"/>
    </row>
    <row r="15">
      <c r="A15" s="19"/>
      <c r="B15" s="18"/>
      <c r="AC15" s="18"/>
      <c r="AD15" s="18"/>
      <c r="AE15" s="18"/>
      <c r="AF15" s="18"/>
    </row>
    <row r="16">
      <c r="A16" s="19"/>
      <c r="B16" s="18"/>
      <c r="AC16" s="18"/>
      <c r="AD16" s="18"/>
      <c r="AE16" s="18"/>
      <c r="AF16" s="18"/>
    </row>
    <row r="17">
      <c r="A17" s="19"/>
      <c r="B17" s="18"/>
      <c r="AC17" s="18"/>
      <c r="AD17" s="18"/>
      <c r="AE17" s="18"/>
      <c r="AF17" s="18"/>
    </row>
    <row r="18">
      <c r="A18" s="19"/>
      <c r="B18" s="18"/>
      <c r="AC18" s="18"/>
      <c r="AD18" s="18"/>
      <c r="AE18" s="18"/>
      <c r="AF18" s="18"/>
    </row>
    <row r="19">
      <c r="A19" s="19"/>
      <c r="B19" s="18"/>
      <c r="AC19" s="18"/>
      <c r="AD19" s="18"/>
      <c r="AE19" s="18"/>
      <c r="AF19" s="18"/>
    </row>
    <row r="20">
      <c r="A20" s="19"/>
      <c r="B20" s="18"/>
      <c r="AC20" s="18"/>
      <c r="AD20" s="18"/>
      <c r="AE20" s="18"/>
      <c r="AF20" s="18"/>
    </row>
    <row r="21">
      <c r="A21" s="19"/>
      <c r="B21" s="18"/>
      <c r="AC21" s="18"/>
      <c r="AD21" s="18"/>
      <c r="AE21" s="18"/>
      <c r="AF21" s="18"/>
    </row>
    <row r="22">
      <c r="A22" s="19"/>
      <c r="B22" s="18"/>
      <c r="AC22" s="18"/>
      <c r="AD22" s="18"/>
      <c r="AE22" s="18"/>
      <c r="AF22" s="18"/>
    </row>
    <row r="23">
      <c r="A23" s="19"/>
      <c r="B23" s="18"/>
      <c r="AC23" s="18"/>
      <c r="AD23" s="18"/>
      <c r="AE23" s="18"/>
      <c r="AF23" s="18"/>
    </row>
    <row r="24">
      <c r="A24" s="19"/>
      <c r="B24" s="18"/>
      <c r="AC24" s="18"/>
      <c r="AD24" s="18"/>
      <c r="AE24" s="18"/>
      <c r="AF24" s="18"/>
    </row>
    <row r="25">
      <c r="A25" s="19"/>
      <c r="B25" s="18"/>
      <c r="AC25" s="18"/>
      <c r="AD25" s="18"/>
      <c r="AE25" s="18"/>
      <c r="AF25" s="18"/>
    </row>
    <row r="26">
      <c r="A26" s="19"/>
      <c r="B26" s="18"/>
      <c r="AC26" s="18"/>
      <c r="AD26" s="18"/>
      <c r="AE26" s="18"/>
      <c r="AF26" s="18"/>
    </row>
    <row r="27">
      <c r="A27" s="19"/>
      <c r="B27" s="18"/>
      <c r="AC27" s="18"/>
      <c r="AD27" s="18"/>
      <c r="AE27" s="18"/>
      <c r="AF27" s="18"/>
    </row>
    <row r="28">
      <c r="A28" s="19"/>
      <c r="B28" s="18"/>
      <c r="AC28" s="18"/>
      <c r="AD28" s="18"/>
      <c r="AE28" s="18"/>
      <c r="AF28" s="18"/>
    </row>
    <row r="29">
      <c r="A29" s="19"/>
      <c r="B29" s="18"/>
      <c r="AC29" s="18"/>
      <c r="AD29" s="18"/>
      <c r="AE29" s="18"/>
      <c r="AF29" s="18"/>
    </row>
    <row r="30">
      <c r="A30" s="19"/>
      <c r="B30" s="18"/>
      <c r="AC30" s="18"/>
      <c r="AD30" s="18"/>
      <c r="AE30" s="18"/>
      <c r="AF30" s="18"/>
    </row>
    <row r="31">
      <c r="A31" s="19"/>
      <c r="B31" s="18"/>
      <c r="AC31" s="18"/>
      <c r="AD31" s="18"/>
      <c r="AE31" s="18"/>
      <c r="AF31" s="18"/>
    </row>
    <row r="32">
      <c r="A32" s="19"/>
      <c r="B32" s="18"/>
      <c r="AC32" s="18"/>
      <c r="AD32" s="18"/>
      <c r="AE32" s="18"/>
      <c r="AF32" s="18"/>
    </row>
    <row r="33">
      <c r="A33" s="19"/>
      <c r="B33" s="18"/>
      <c r="AC33" s="18"/>
      <c r="AD33" s="18"/>
      <c r="AE33" s="18"/>
      <c r="AF33" s="18"/>
    </row>
    <row r="34">
      <c r="A34" s="19"/>
      <c r="B34" s="18"/>
      <c r="AC34" s="18"/>
      <c r="AD34" s="18"/>
      <c r="AE34" s="18"/>
      <c r="AF34" s="18"/>
    </row>
    <row r="35">
      <c r="A35" s="19"/>
      <c r="B35" s="18"/>
      <c r="AC35" s="18"/>
      <c r="AD35" s="18"/>
      <c r="AE35" s="18"/>
      <c r="AF35" s="18"/>
    </row>
    <row r="36">
      <c r="A36" s="19"/>
      <c r="B36" s="18"/>
      <c r="AC36" s="18"/>
      <c r="AD36" s="18"/>
      <c r="AE36" s="18"/>
      <c r="AF36" s="18"/>
    </row>
    <row r="37">
      <c r="A37" s="19"/>
      <c r="B37" s="18"/>
      <c r="AC37" s="18"/>
      <c r="AD37" s="18"/>
      <c r="AE37" s="18"/>
      <c r="AF37" s="18"/>
    </row>
    <row r="38">
      <c r="A38" s="19"/>
      <c r="B38" s="18"/>
      <c r="AC38" s="18"/>
      <c r="AD38" s="18"/>
      <c r="AE38" s="18"/>
      <c r="AF38" s="18"/>
    </row>
    <row r="39">
      <c r="A39" s="19"/>
      <c r="B39" s="18"/>
      <c r="AC39" s="18"/>
      <c r="AD39" s="18"/>
      <c r="AE39" s="18"/>
      <c r="AF39" s="18"/>
    </row>
    <row r="40">
      <c r="A40" s="19"/>
      <c r="B40" s="18"/>
      <c r="AC40" s="18"/>
      <c r="AD40" s="18"/>
      <c r="AE40" s="18"/>
      <c r="AF40" s="18"/>
    </row>
    <row r="41">
      <c r="A41" s="19"/>
      <c r="B41" s="18"/>
      <c r="AC41" s="18"/>
      <c r="AD41" s="18"/>
      <c r="AE41" s="18"/>
      <c r="AF41" s="18"/>
    </row>
    <row r="42">
      <c r="A42" s="19"/>
      <c r="B42" s="18"/>
      <c r="AC42" s="18"/>
      <c r="AD42" s="18"/>
      <c r="AE42" s="18"/>
      <c r="AF42" s="18"/>
    </row>
    <row r="43">
      <c r="A43" s="19"/>
      <c r="B43" s="18"/>
      <c r="AC43" s="18"/>
      <c r="AD43" s="18"/>
      <c r="AE43" s="18"/>
      <c r="AF43" s="18"/>
    </row>
    <row r="44">
      <c r="A44" s="19"/>
      <c r="B44" s="18"/>
      <c r="AC44" s="18"/>
      <c r="AD44" s="18"/>
      <c r="AE44" s="18"/>
      <c r="AF44" s="18"/>
    </row>
    <row r="45">
      <c r="A45" s="19"/>
      <c r="B45" s="18"/>
      <c r="AC45" s="18"/>
      <c r="AD45" s="18"/>
      <c r="AE45" s="18"/>
      <c r="AF45" s="18"/>
    </row>
    <row r="46">
      <c r="A46" s="19"/>
      <c r="B46" s="18"/>
      <c r="AC46" s="18"/>
      <c r="AD46" s="18"/>
      <c r="AE46" s="18"/>
      <c r="AF46" s="18"/>
    </row>
    <row r="47">
      <c r="A47" s="19"/>
      <c r="B47" s="18"/>
      <c r="AC47" s="18"/>
      <c r="AD47" s="18"/>
      <c r="AE47" s="18"/>
      <c r="AF47" s="18"/>
    </row>
    <row r="48">
      <c r="A48" s="19"/>
      <c r="B48" s="18"/>
      <c r="AC48" s="18"/>
      <c r="AD48" s="18"/>
      <c r="AE48" s="18"/>
      <c r="AF48" s="18"/>
    </row>
    <row r="49">
      <c r="A49" s="19"/>
      <c r="B49" s="18"/>
      <c r="AC49" s="18"/>
      <c r="AD49" s="18"/>
      <c r="AE49" s="18"/>
      <c r="AF49" s="18"/>
    </row>
    <row r="50">
      <c r="A50" s="19"/>
      <c r="B50" s="18"/>
      <c r="AC50" s="18"/>
      <c r="AD50" s="18"/>
      <c r="AE50" s="18"/>
      <c r="AF50" s="18"/>
    </row>
    <row r="51">
      <c r="A51" s="19"/>
      <c r="B51" s="18"/>
      <c r="AC51" s="18"/>
      <c r="AD51" s="18"/>
      <c r="AE51" s="18"/>
      <c r="AF51" s="18"/>
    </row>
    <row r="52">
      <c r="A52" s="19"/>
      <c r="B52" s="18"/>
      <c r="AC52" s="18"/>
      <c r="AD52" s="18"/>
      <c r="AE52" s="18"/>
      <c r="AF52" s="18"/>
    </row>
    <row r="53">
      <c r="A53" s="19"/>
      <c r="B53" s="18"/>
      <c r="AC53" s="18"/>
      <c r="AD53" s="18"/>
      <c r="AE53" s="18"/>
      <c r="AF53" s="18"/>
    </row>
    <row r="54">
      <c r="A54" s="19"/>
      <c r="B54" s="18"/>
      <c r="AC54" s="18"/>
      <c r="AD54" s="18"/>
      <c r="AE54" s="18"/>
      <c r="AF54" s="18"/>
    </row>
    <row r="55">
      <c r="A55" s="19"/>
      <c r="B55" s="18"/>
      <c r="AC55" s="18"/>
      <c r="AD55" s="18"/>
      <c r="AE55" s="18"/>
      <c r="AF55" s="18"/>
    </row>
    <row r="56">
      <c r="A56" s="19"/>
      <c r="B56" s="18"/>
      <c r="AC56" s="18"/>
      <c r="AD56" s="18"/>
      <c r="AE56" s="18"/>
      <c r="AF56" s="18"/>
    </row>
    <row r="57">
      <c r="A57" s="19"/>
      <c r="B57" s="18"/>
      <c r="AC57" s="18"/>
      <c r="AD57" s="18"/>
      <c r="AE57" s="18"/>
      <c r="AF57" s="18"/>
    </row>
    <row r="58">
      <c r="A58" s="19"/>
      <c r="B58" s="18"/>
      <c r="AC58" s="18"/>
      <c r="AD58" s="18"/>
      <c r="AE58" s="18"/>
      <c r="AF58" s="18"/>
    </row>
    <row r="59">
      <c r="A59" s="19"/>
      <c r="B59" s="18"/>
      <c r="AC59" s="18"/>
      <c r="AD59" s="18"/>
      <c r="AE59" s="18"/>
      <c r="AF59" s="18"/>
    </row>
    <row r="60">
      <c r="A60" s="19"/>
      <c r="B60" s="18"/>
      <c r="AC60" s="18"/>
      <c r="AD60" s="18"/>
      <c r="AE60" s="18"/>
      <c r="AF60" s="18"/>
    </row>
    <row r="61">
      <c r="A61" s="19"/>
      <c r="B61" s="18"/>
      <c r="AC61" s="18"/>
      <c r="AD61" s="18"/>
      <c r="AE61" s="18"/>
      <c r="AF61" s="18"/>
    </row>
    <row r="62">
      <c r="A62" s="19"/>
      <c r="B62" s="18"/>
      <c r="AC62" s="18"/>
      <c r="AD62" s="18"/>
      <c r="AE62" s="18"/>
      <c r="AF62" s="18"/>
    </row>
    <row r="63">
      <c r="A63" s="19"/>
      <c r="B63" s="18"/>
      <c r="AC63" s="18"/>
      <c r="AD63" s="18"/>
      <c r="AE63" s="18"/>
      <c r="AF63" s="18"/>
    </row>
    <row r="64">
      <c r="A64" s="19"/>
      <c r="B64" s="18"/>
      <c r="AC64" s="18"/>
      <c r="AD64" s="18"/>
      <c r="AE64" s="18"/>
      <c r="AF64" s="18"/>
    </row>
    <row r="65">
      <c r="A65" s="19"/>
      <c r="B65" s="18"/>
      <c r="AC65" s="18"/>
      <c r="AD65" s="18"/>
      <c r="AE65" s="18"/>
      <c r="AF65" s="18"/>
    </row>
    <row r="66">
      <c r="A66" s="19"/>
      <c r="B66" s="18"/>
      <c r="AC66" s="18"/>
      <c r="AD66" s="18"/>
      <c r="AE66" s="18"/>
      <c r="AF66" s="18"/>
    </row>
    <row r="67">
      <c r="A67" s="19"/>
      <c r="B67" s="18"/>
      <c r="AC67" s="18"/>
      <c r="AD67" s="18"/>
      <c r="AE67" s="18"/>
      <c r="AF67" s="18"/>
    </row>
    <row r="68">
      <c r="A68" s="19"/>
      <c r="B68" s="18"/>
      <c r="AC68" s="18"/>
      <c r="AD68" s="18"/>
      <c r="AE68" s="18"/>
      <c r="AF68" s="18"/>
    </row>
    <row r="69">
      <c r="A69" s="19"/>
      <c r="B69" s="18"/>
      <c r="AC69" s="18"/>
      <c r="AD69" s="18"/>
      <c r="AE69" s="18"/>
      <c r="AF69" s="18"/>
    </row>
    <row r="70">
      <c r="A70" s="19"/>
      <c r="B70" s="18"/>
      <c r="AC70" s="18"/>
      <c r="AD70" s="18"/>
      <c r="AE70" s="18"/>
      <c r="AF70" s="18"/>
    </row>
    <row r="71">
      <c r="A71" s="19"/>
      <c r="B71" s="18"/>
      <c r="AC71" s="18"/>
      <c r="AD71" s="18"/>
      <c r="AE71" s="18"/>
      <c r="AF71" s="18"/>
    </row>
    <row r="72">
      <c r="A72" s="19"/>
      <c r="B72" s="18"/>
      <c r="AC72" s="18"/>
      <c r="AD72" s="18"/>
      <c r="AE72" s="18"/>
      <c r="AF72" s="18"/>
    </row>
    <row r="73">
      <c r="A73" s="19"/>
      <c r="B73" s="18"/>
      <c r="AC73" s="18"/>
      <c r="AD73" s="18"/>
      <c r="AE73" s="18"/>
      <c r="AF73" s="18"/>
    </row>
    <row r="74">
      <c r="A74" s="19"/>
      <c r="B74" s="18"/>
      <c r="AC74" s="18"/>
      <c r="AD74" s="18"/>
      <c r="AE74" s="18"/>
      <c r="AF74" s="18"/>
    </row>
    <row r="75">
      <c r="A75" s="19"/>
      <c r="B75" s="18"/>
      <c r="AC75" s="18"/>
      <c r="AD75" s="18"/>
      <c r="AE75" s="18"/>
      <c r="AF75" s="18"/>
    </row>
    <row r="76">
      <c r="A76" s="19"/>
      <c r="B76" s="18"/>
      <c r="AC76" s="18"/>
      <c r="AD76" s="18"/>
      <c r="AE76" s="18"/>
      <c r="AF76" s="18"/>
    </row>
    <row r="77">
      <c r="A77" s="19"/>
      <c r="B77" s="18"/>
      <c r="AC77" s="18"/>
      <c r="AD77" s="18"/>
      <c r="AE77" s="18"/>
      <c r="AF77" s="18"/>
    </row>
    <row r="78">
      <c r="A78" s="19"/>
      <c r="B78" s="18"/>
      <c r="AC78" s="18"/>
      <c r="AD78" s="18"/>
      <c r="AE78" s="18"/>
      <c r="AF78" s="18"/>
    </row>
    <row r="79">
      <c r="A79" s="19"/>
      <c r="B79" s="18"/>
      <c r="AC79" s="18"/>
      <c r="AD79" s="18"/>
      <c r="AE79" s="18"/>
      <c r="AF79" s="18"/>
    </row>
    <row r="80">
      <c r="A80" s="19"/>
      <c r="B80" s="18"/>
      <c r="AC80" s="18"/>
      <c r="AD80" s="18"/>
      <c r="AE80" s="18"/>
      <c r="AF80" s="18"/>
    </row>
    <row r="81">
      <c r="A81" s="19"/>
      <c r="B81" s="18"/>
      <c r="AC81" s="18"/>
      <c r="AD81" s="18"/>
      <c r="AE81" s="18"/>
      <c r="AF81" s="18"/>
    </row>
    <row r="82">
      <c r="A82" s="19"/>
      <c r="B82" s="18"/>
      <c r="AC82" s="18"/>
      <c r="AD82" s="18"/>
      <c r="AE82" s="18"/>
      <c r="AF82" s="18"/>
    </row>
    <row r="83">
      <c r="A83" s="19"/>
      <c r="B83" s="18"/>
      <c r="AC83" s="18"/>
      <c r="AD83" s="18"/>
      <c r="AE83" s="18"/>
      <c r="AF83" s="18"/>
    </row>
    <row r="84">
      <c r="A84" s="19"/>
      <c r="B84" s="18"/>
      <c r="AC84" s="18"/>
      <c r="AD84" s="18"/>
      <c r="AE84" s="18"/>
      <c r="AF84" s="18"/>
    </row>
    <row r="85">
      <c r="A85" s="19"/>
      <c r="B85" s="18"/>
      <c r="AC85" s="18"/>
      <c r="AD85" s="18"/>
      <c r="AE85" s="18"/>
      <c r="AF85" s="18"/>
    </row>
    <row r="86">
      <c r="A86" s="19"/>
      <c r="B86" s="18"/>
      <c r="AC86" s="18"/>
      <c r="AD86" s="18"/>
      <c r="AE86" s="18"/>
      <c r="AF86" s="18"/>
    </row>
    <row r="87">
      <c r="A87" s="19"/>
      <c r="B87" s="18"/>
      <c r="AC87" s="18"/>
      <c r="AD87" s="18"/>
      <c r="AE87" s="18"/>
      <c r="AF87" s="18"/>
    </row>
    <row r="88">
      <c r="A88" s="19"/>
      <c r="B88" s="18"/>
      <c r="AC88" s="18"/>
      <c r="AD88" s="18"/>
      <c r="AE88" s="18"/>
      <c r="AF88" s="18"/>
    </row>
    <row r="89">
      <c r="A89" s="19"/>
      <c r="B89" s="18"/>
      <c r="AC89" s="18"/>
      <c r="AD89" s="18"/>
      <c r="AE89" s="18"/>
      <c r="AF89" s="18"/>
    </row>
    <row r="90">
      <c r="A90" s="19"/>
      <c r="B90" s="18"/>
      <c r="AC90" s="18"/>
      <c r="AD90" s="18"/>
      <c r="AE90" s="18"/>
      <c r="AF90" s="18"/>
    </row>
    <row r="91">
      <c r="A91" s="19"/>
      <c r="B91" s="18"/>
      <c r="AC91" s="18"/>
      <c r="AD91" s="18"/>
      <c r="AE91" s="18"/>
      <c r="AF91" s="18"/>
    </row>
    <row r="92">
      <c r="A92" s="19"/>
      <c r="B92" s="18"/>
      <c r="AC92" s="18"/>
      <c r="AD92" s="18"/>
      <c r="AE92" s="18"/>
      <c r="AF92" s="18"/>
    </row>
    <row r="93">
      <c r="A93" s="19"/>
      <c r="B93" s="18"/>
      <c r="AC93" s="18"/>
      <c r="AD93" s="18"/>
      <c r="AE93" s="18"/>
      <c r="AF93" s="18"/>
    </row>
    <row r="94">
      <c r="A94" s="19"/>
      <c r="B94" s="18"/>
      <c r="AC94" s="18"/>
      <c r="AD94" s="18"/>
      <c r="AE94" s="18"/>
      <c r="AF94" s="18"/>
    </row>
    <row r="95">
      <c r="A95" s="19"/>
      <c r="B95" s="18"/>
      <c r="AC95" s="18"/>
      <c r="AD95" s="18"/>
      <c r="AE95" s="18"/>
      <c r="AF95" s="18"/>
    </row>
    <row r="96">
      <c r="A96" s="19"/>
      <c r="B96" s="18"/>
      <c r="AC96" s="18"/>
      <c r="AD96" s="18"/>
      <c r="AE96" s="18"/>
      <c r="AF96" s="18"/>
    </row>
    <row r="97">
      <c r="A97" s="19"/>
      <c r="B97" s="18"/>
      <c r="AC97" s="18"/>
      <c r="AD97" s="18"/>
      <c r="AE97" s="18"/>
      <c r="AF97" s="18"/>
    </row>
    <row r="98">
      <c r="A98" s="19"/>
      <c r="B98" s="18"/>
      <c r="AC98" s="18"/>
      <c r="AD98" s="18"/>
      <c r="AE98" s="18"/>
      <c r="AF98" s="18"/>
    </row>
    <row r="99">
      <c r="A99" s="19"/>
      <c r="B99" s="18"/>
      <c r="AC99" s="18"/>
      <c r="AD99" s="18"/>
      <c r="AE99" s="18"/>
      <c r="AF99" s="18"/>
    </row>
    <row r="100">
      <c r="A100" s="19"/>
      <c r="B100" s="18"/>
      <c r="AC100" s="18"/>
      <c r="AD100" s="18"/>
      <c r="AE100" s="18"/>
      <c r="AF100" s="18"/>
    </row>
    <row r="101">
      <c r="A101" s="19"/>
      <c r="B101" s="18"/>
      <c r="AC101" s="18"/>
      <c r="AD101" s="18"/>
      <c r="AE101" s="18"/>
      <c r="AF101" s="18"/>
    </row>
    <row r="102">
      <c r="A102" s="19"/>
      <c r="B102" s="18"/>
      <c r="AC102" s="18"/>
      <c r="AD102" s="18"/>
      <c r="AE102" s="18"/>
      <c r="AF102" s="18"/>
    </row>
    <row r="103">
      <c r="A103" s="19"/>
      <c r="B103" s="18"/>
      <c r="AC103" s="18"/>
      <c r="AD103" s="18"/>
      <c r="AE103" s="18"/>
      <c r="AF103" s="18"/>
    </row>
    <row r="104">
      <c r="A104" s="19"/>
      <c r="B104" s="18"/>
      <c r="AC104" s="18"/>
      <c r="AD104" s="18"/>
      <c r="AE104" s="18"/>
      <c r="AF104" s="18"/>
    </row>
    <row r="105">
      <c r="A105" s="19"/>
      <c r="B105" s="18"/>
      <c r="AC105" s="18"/>
      <c r="AD105" s="18"/>
      <c r="AE105" s="18"/>
      <c r="AF105" s="18"/>
    </row>
    <row r="106">
      <c r="A106" s="19"/>
      <c r="B106" s="18"/>
      <c r="AC106" s="18"/>
      <c r="AD106" s="18"/>
      <c r="AE106" s="18"/>
      <c r="AF106" s="18"/>
    </row>
    <row r="107">
      <c r="A107" s="19"/>
      <c r="B107" s="18"/>
      <c r="AC107" s="18"/>
      <c r="AD107" s="18"/>
      <c r="AE107" s="18"/>
      <c r="AF107" s="18"/>
    </row>
    <row r="108">
      <c r="A108" s="19"/>
      <c r="B108" s="18"/>
      <c r="AC108" s="18"/>
      <c r="AD108" s="18"/>
      <c r="AE108" s="18"/>
      <c r="AF108" s="18"/>
    </row>
    <row r="109">
      <c r="A109" s="19"/>
      <c r="B109" s="18"/>
      <c r="AC109" s="18"/>
      <c r="AD109" s="18"/>
      <c r="AE109" s="18"/>
      <c r="AF109" s="18"/>
    </row>
    <row r="110">
      <c r="A110" s="19"/>
      <c r="B110" s="18"/>
      <c r="AC110" s="18"/>
      <c r="AD110" s="18"/>
      <c r="AE110" s="18"/>
      <c r="AF110" s="18"/>
    </row>
    <row r="111">
      <c r="A111" s="19"/>
      <c r="B111" s="18"/>
      <c r="AC111" s="18"/>
      <c r="AD111" s="18"/>
      <c r="AE111" s="18"/>
      <c r="AF111" s="18"/>
    </row>
    <row r="112">
      <c r="A112" s="19"/>
      <c r="B112" s="18"/>
      <c r="AC112" s="18"/>
      <c r="AD112" s="18"/>
      <c r="AE112" s="18"/>
      <c r="AF112" s="18"/>
    </row>
    <row r="113">
      <c r="A113" s="19"/>
      <c r="B113" s="18"/>
      <c r="AC113" s="18"/>
      <c r="AD113" s="18"/>
      <c r="AE113" s="18"/>
      <c r="AF113" s="18"/>
    </row>
    <row r="114">
      <c r="A114" s="19"/>
      <c r="B114" s="18"/>
      <c r="AC114" s="18"/>
      <c r="AD114" s="18"/>
      <c r="AE114" s="18"/>
      <c r="AF114" s="18"/>
    </row>
    <row r="115">
      <c r="A115" s="19"/>
      <c r="B115" s="18"/>
      <c r="AC115" s="18"/>
      <c r="AD115" s="18"/>
      <c r="AE115" s="18"/>
      <c r="AF115" s="18"/>
    </row>
    <row r="116">
      <c r="A116" s="19"/>
      <c r="B116" s="18"/>
      <c r="AC116" s="18"/>
      <c r="AD116" s="18"/>
      <c r="AE116" s="18"/>
      <c r="AF116" s="18"/>
    </row>
    <row r="117">
      <c r="A117" s="19"/>
      <c r="B117" s="18"/>
      <c r="AC117" s="18"/>
      <c r="AD117" s="18"/>
      <c r="AE117" s="18"/>
      <c r="AF117" s="18"/>
    </row>
    <row r="118">
      <c r="A118" s="19"/>
      <c r="B118" s="18"/>
      <c r="AC118" s="18"/>
      <c r="AD118" s="18"/>
      <c r="AE118" s="18"/>
      <c r="AF118" s="18"/>
    </row>
    <row r="119">
      <c r="A119" s="19"/>
      <c r="B119" s="18"/>
      <c r="AC119" s="18"/>
      <c r="AD119" s="18"/>
      <c r="AE119" s="18"/>
      <c r="AF119" s="18"/>
    </row>
    <row r="120">
      <c r="A120" s="19"/>
      <c r="B120" s="18"/>
      <c r="AC120" s="18"/>
      <c r="AD120" s="18"/>
      <c r="AE120" s="18"/>
      <c r="AF120" s="18"/>
    </row>
    <row r="121">
      <c r="A121" s="19"/>
      <c r="B121" s="18"/>
      <c r="AC121" s="18"/>
      <c r="AD121" s="18"/>
      <c r="AE121" s="18"/>
      <c r="AF121" s="18"/>
    </row>
    <row r="122">
      <c r="A122" s="19"/>
      <c r="B122" s="18"/>
      <c r="AC122" s="18"/>
      <c r="AD122" s="18"/>
      <c r="AE122" s="18"/>
      <c r="AF122" s="18"/>
    </row>
    <row r="123">
      <c r="A123" s="19"/>
      <c r="B123" s="18"/>
      <c r="AC123" s="18"/>
      <c r="AD123" s="18"/>
      <c r="AE123" s="18"/>
      <c r="AF123" s="18"/>
    </row>
    <row r="124">
      <c r="A124" s="19"/>
      <c r="B124" s="18"/>
      <c r="AC124" s="18"/>
      <c r="AD124" s="18"/>
      <c r="AE124" s="18"/>
      <c r="AF124" s="18"/>
    </row>
    <row r="125">
      <c r="A125" s="19"/>
      <c r="B125" s="18"/>
      <c r="AC125" s="18"/>
      <c r="AD125" s="18"/>
      <c r="AE125" s="18"/>
      <c r="AF125" s="18"/>
    </row>
    <row r="126">
      <c r="A126" s="19"/>
      <c r="B126" s="18"/>
      <c r="AC126" s="18"/>
      <c r="AD126" s="18"/>
      <c r="AE126" s="18"/>
      <c r="AF126" s="18"/>
    </row>
    <row r="127">
      <c r="A127" s="19"/>
      <c r="B127" s="18"/>
      <c r="AC127" s="18"/>
      <c r="AD127" s="18"/>
      <c r="AE127" s="18"/>
      <c r="AF127" s="18"/>
    </row>
    <row r="128">
      <c r="A128" s="19"/>
      <c r="B128" s="18"/>
      <c r="AC128" s="18"/>
      <c r="AD128" s="18"/>
      <c r="AE128" s="18"/>
      <c r="AF128" s="18"/>
    </row>
    <row r="129">
      <c r="A129" s="19"/>
      <c r="B129" s="18"/>
      <c r="AC129" s="18"/>
      <c r="AD129" s="18"/>
      <c r="AE129" s="18"/>
      <c r="AF129" s="18"/>
    </row>
    <row r="130">
      <c r="A130" s="19"/>
      <c r="B130" s="18"/>
      <c r="AC130" s="18"/>
      <c r="AD130" s="18"/>
      <c r="AE130" s="18"/>
      <c r="AF130" s="18"/>
    </row>
    <row r="131">
      <c r="A131" s="19"/>
      <c r="B131" s="18"/>
      <c r="AC131" s="18"/>
      <c r="AD131" s="18"/>
      <c r="AE131" s="18"/>
      <c r="AF131" s="18"/>
    </row>
    <row r="132">
      <c r="A132" s="19"/>
      <c r="B132" s="18"/>
      <c r="AC132" s="18"/>
      <c r="AD132" s="18"/>
      <c r="AE132" s="18"/>
      <c r="AF132" s="18"/>
    </row>
    <row r="133">
      <c r="A133" s="19"/>
      <c r="B133" s="18"/>
      <c r="AC133" s="18"/>
      <c r="AD133" s="18"/>
      <c r="AE133" s="18"/>
      <c r="AF133" s="18"/>
    </row>
    <row r="134">
      <c r="A134" s="19"/>
      <c r="B134" s="18"/>
      <c r="AC134" s="18"/>
      <c r="AD134" s="18"/>
      <c r="AE134" s="18"/>
      <c r="AF134" s="18"/>
    </row>
    <row r="135">
      <c r="A135" s="19"/>
      <c r="B135" s="18"/>
      <c r="AC135" s="18"/>
      <c r="AD135" s="18"/>
      <c r="AE135" s="18"/>
      <c r="AF135" s="18"/>
    </row>
    <row r="136">
      <c r="A136" s="19"/>
      <c r="B136" s="18"/>
      <c r="AC136" s="18"/>
      <c r="AD136" s="18"/>
      <c r="AE136" s="18"/>
      <c r="AF136" s="18"/>
    </row>
    <row r="137">
      <c r="A137" s="19"/>
      <c r="B137" s="18"/>
      <c r="AC137" s="18"/>
      <c r="AD137" s="18"/>
      <c r="AE137" s="18"/>
      <c r="AF137" s="18"/>
    </row>
    <row r="138">
      <c r="A138" s="19"/>
      <c r="B138" s="18"/>
      <c r="AC138" s="18"/>
      <c r="AD138" s="18"/>
      <c r="AE138" s="18"/>
      <c r="AF138" s="18"/>
    </row>
    <row r="139">
      <c r="A139" s="19"/>
      <c r="B139" s="18"/>
      <c r="AC139" s="18"/>
      <c r="AD139" s="18"/>
      <c r="AE139" s="18"/>
      <c r="AF139" s="18"/>
    </row>
    <row r="140">
      <c r="A140" s="19"/>
      <c r="B140" s="18"/>
      <c r="AC140" s="18"/>
      <c r="AD140" s="18"/>
      <c r="AE140" s="18"/>
      <c r="AF140" s="18"/>
    </row>
    <row r="141">
      <c r="A141" s="19"/>
      <c r="B141" s="18"/>
      <c r="AC141" s="18"/>
      <c r="AD141" s="18"/>
      <c r="AE141" s="18"/>
      <c r="AF141" s="18"/>
    </row>
    <row r="142">
      <c r="A142" s="19"/>
      <c r="B142" s="18"/>
      <c r="AC142" s="18"/>
      <c r="AD142" s="18"/>
      <c r="AE142" s="18"/>
      <c r="AF142" s="18"/>
    </row>
    <row r="143">
      <c r="A143" s="19"/>
      <c r="B143" s="18"/>
      <c r="AC143" s="18"/>
      <c r="AD143" s="18"/>
      <c r="AE143" s="18"/>
      <c r="AF143" s="18"/>
    </row>
    <row r="144">
      <c r="A144" s="19"/>
      <c r="B144" s="18"/>
      <c r="AC144" s="18"/>
      <c r="AD144" s="18"/>
      <c r="AE144" s="18"/>
      <c r="AF144" s="18"/>
    </row>
    <row r="145">
      <c r="A145" s="19"/>
      <c r="B145" s="18"/>
      <c r="AC145" s="18"/>
      <c r="AD145" s="18"/>
      <c r="AE145" s="18"/>
      <c r="AF145" s="18"/>
    </row>
    <row r="146">
      <c r="A146" s="19"/>
      <c r="B146" s="18"/>
      <c r="AC146" s="18"/>
      <c r="AD146" s="18"/>
      <c r="AE146" s="18"/>
      <c r="AF146" s="18"/>
    </row>
    <row r="147">
      <c r="A147" s="19"/>
      <c r="B147" s="18"/>
      <c r="AC147" s="18"/>
      <c r="AD147" s="18"/>
      <c r="AE147" s="18"/>
      <c r="AF147" s="18"/>
    </row>
    <row r="148">
      <c r="A148" s="19"/>
      <c r="B148" s="18"/>
      <c r="AC148" s="18"/>
      <c r="AD148" s="18"/>
      <c r="AE148" s="18"/>
      <c r="AF148" s="18"/>
    </row>
    <row r="149">
      <c r="A149" s="19"/>
      <c r="B149" s="18"/>
      <c r="AC149" s="18"/>
      <c r="AD149" s="18"/>
      <c r="AE149" s="18"/>
      <c r="AF149" s="18"/>
    </row>
    <row r="150">
      <c r="A150" s="19"/>
      <c r="B150" s="18"/>
      <c r="AC150" s="18"/>
      <c r="AD150" s="18"/>
      <c r="AE150" s="18"/>
      <c r="AF150" s="18"/>
    </row>
    <row r="151">
      <c r="A151" s="19"/>
      <c r="B151" s="18"/>
      <c r="AC151" s="18"/>
      <c r="AD151" s="18"/>
      <c r="AE151" s="18"/>
      <c r="AF151" s="18"/>
    </row>
    <row r="152">
      <c r="A152" s="19"/>
      <c r="B152" s="18"/>
      <c r="AC152" s="18"/>
      <c r="AD152" s="18"/>
      <c r="AE152" s="18"/>
      <c r="AF152" s="18"/>
    </row>
    <row r="153">
      <c r="A153" s="19"/>
      <c r="B153" s="18"/>
      <c r="AC153" s="18"/>
      <c r="AD153" s="18"/>
      <c r="AE153" s="18"/>
      <c r="AF153" s="18"/>
    </row>
    <row r="154">
      <c r="A154" s="19"/>
      <c r="B154" s="18"/>
      <c r="AC154" s="18"/>
      <c r="AD154" s="18"/>
      <c r="AE154" s="18"/>
      <c r="AF154" s="18"/>
    </row>
    <row r="155">
      <c r="A155" s="19"/>
      <c r="B155" s="18"/>
      <c r="AC155" s="18"/>
      <c r="AD155" s="18"/>
      <c r="AE155" s="18"/>
      <c r="AF155" s="18"/>
    </row>
    <row r="156">
      <c r="A156" s="19"/>
      <c r="B156" s="18"/>
      <c r="AC156" s="18"/>
      <c r="AD156" s="18"/>
      <c r="AE156" s="18"/>
      <c r="AF156" s="18"/>
    </row>
    <row r="157">
      <c r="A157" s="19"/>
      <c r="B157" s="18"/>
      <c r="AC157" s="18"/>
      <c r="AD157" s="18"/>
      <c r="AE157" s="18"/>
      <c r="AF157" s="18"/>
    </row>
    <row r="158">
      <c r="A158" s="19"/>
      <c r="B158" s="18"/>
      <c r="AC158" s="18"/>
      <c r="AD158" s="18"/>
      <c r="AE158" s="18"/>
      <c r="AF158" s="18"/>
    </row>
    <row r="159">
      <c r="A159" s="19"/>
      <c r="B159" s="18"/>
      <c r="AC159" s="18"/>
      <c r="AD159" s="18"/>
      <c r="AE159" s="18"/>
      <c r="AF159" s="18"/>
    </row>
    <row r="160">
      <c r="A160" s="19"/>
      <c r="B160" s="18"/>
      <c r="AC160" s="18"/>
      <c r="AD160" s="18"/>
      <c r="AE160" s="18"/>
      <c r="AF160" s="18"/>
    </row>
    <row r="161">
      <c r="A161" s="19"/>
      <c r="B161" s="18"/>
      <c r="AC161" s="18"/>
      <c r="AD161" s="18"/>
      <c r="AE161" s="18"/>
      <c r="AF161" s="18"/>
    </row>
    <row r="162">
      <c r="A162" s="19"/>
      <c r="B162" s="18"/>
      <c r="AC162" s="18"/>
      <c r="AD162" s="18"/>
      <c r="AE162" s="18"/>
      <c r="AF162" s="18"/>
    </row>
    <row r="163">
      <c r="A163" s="19"/>
      <c r="B163" s="18"/>
      <c r="AC163" s="18"/>
      <c r="AD163" s="18"/>
      <c r="AE163" s="18"/>
      <c r="AF163" s="18"/>
    </row>
    <row r="164">
      <c r="A164" s="19"/>
      <c r="B164" s="18"/>
      <c r="AC164" s="18"/>
      <c r="AD164" s="18"/>
      <c r="AE164" s="18"/>
      <c r="AF164" s="18"/>
    </row>
    <row r="165">
      <c r="A165" s="19"/>
      <c r="B165" s="18"/>
      <c r="AC165" s="18"/>
      <c r="AD165" s="18"/>
      <c r="AE165" s="18"/>
      <c r="AF165" s="18"/>
    </row>
    <row r="166">
      <c r="A166" s="19"/>
      <c r="B166" s="18"/>
      <c r="AC166" s="18"/>
      <c r="AD166" s="18"/>
      <c r="AE166" s="18"/>
      <c r="AF166" s="18"/>
    </row>
    <row r="167">
      <c r="A167" s="19"/>
      <c r="B167" s="18"/>
      <c r="AC167" s="18"/>
      <c r="AD167" s="18"/>
      <c r="AE167" s="18"/>
      <c r="AF167" s="18"/>
    </row>
    <row r="168">
      <c r="A168" s="19"/>
      <c r="B168" s="18"/>
      <c r="AC168" s="18"/>
      <c r="AD168" s="18"/>
      <c r="AE168" s="18"/>
      <c r="AF168" s="18"/>
    </row>
    <row r="169">
      <c r="A169" s="19"/>
      <c r="B169" s="18"/>
      <c r="AC169" s="18"/>
      <c r="AD169" s="18"/>
      <c r="AE169" s="18"/>
      <c r="AF169" s="18"/>
    </row>
    <row r="170">
      <c r="A170" s="19"/>
      <c r="B170" s="18"/>
      <c r="AC170" s="18"/>
      <c r="AD170" s="18"/>
      <c r="AE170" s="18"/>
      <c r="AF170" s="18"/>
    </row>
    <row r="171">
      <c r="A171" s="19"/>
      <c r="B171" s="18"/>
      <c r="AC171" s="18"/>
      <c r="AD171" s="18"/>
      <c r="AE171" s="18"/>
      <c r="AF171" s="18"/>
    </row>
    <row r="172">
      <c r="A172" s="19"/>
      <c r="B172" s="18"/>
      <c r="AC172" s="18"/>
      <c r="AD172" s="18"/>
      <c r="AE172" s="18"/>
      <c r="AF172" s="18"/>
    </row>
    <row r="173">
      <c r="A173" s="19"/>
      <c r="B173" s="18"/>
      <c r="AC173" s="18"/>
      <c r="AD173" s="18"/>
      <c r="AE173" s="18"/>
      <c r="AF173" s="18"/>
    </row>
    <row r="174">
      <c r="A174" s="19"/>
      <c r="B174" s="18"/>
      <c r="AC174" s="18"/>
      <c r="AD174" s="18"/>
      <c r="AE174" s="18"/>
      <c r="AF174" s="18"/>
    </row>
    <row r="175">
      <c r="A175" s="19"/>
      <c r="B175" s="18"/>
      <c r="AC175" s="18"/>
      <c r="AD175" s="18"/>
      <c r="AE175" s="18"/>
      <c r="AF175" s="18"/>
    </row>
    <row r="176">
      <c r="A176" s="19"/>
      <c r="B176" s="18"/>
      <c r="AC176" s="18"/>
      <c r="AD176" s="18"/>
      <c r="AE176" s="18"/>
      <c r="AF176" s="18"/>
    </row>
    <row r="177">
      <c r="A177" s="19"/>
      <c r="B177" s="18"/>
      <c r="AC177" s="18"/>
      <c r="AD177" s="18"/>
      <c r="AE177" s="18"/>
      <c r="AF177" s="18"/>
    </row>
    <row r="178">
      <c r="A178" s="19"/>
      <c r="B178" s="18"/>
      <c r="AC178" s="18"/>
      <c r="AD178" s="18"/>
      <c r="AE178" s="18"/>
      <c r="AF178" s="18"/>
    </row>
    <row r="179">
      <c r="A179" s="19"/>
      <c r="B179" s="18"/>
      <c r="AC179" s="18"/>
      <c r="AD179" s="18"/>
      <c r="AE179" s="18"/>
      <c r="AF179" s="18"/>
    </row>
    <row r="180">
      <c r="A180" s="19"/>
      <c r="B180" s="18"/>
      <c r="AC180" s="18"/>
      <c r="AD180" s="18"/>
      <c r="AE180" s="18"/>
      <c r="AF180" s="18"/>
    </row>
    <row r="181">
      <c r="A181" s="19"/>
      <c r="B181" s="18"/>
      <c r="AC181" s="18"/>
      <c r="AD181" s="18"/>
      <c r="AE181" s="18"/>
      <c r="AF181" s="18"/>
    </row>
    <row r="182">
      <c r="A182" s="19"/>
      <c r="B182" s="18"/>
      <c r="AC182" s="18"/>
      <c r="AD182" s="18"/>
      <c r="AE182" s="18"/>
      <c r="AF182" s="18"/>
    </row>
    <row r="183">
      <c r="A183" s="19"/>
      <c r="B183" s="18"/>
      <c r="AC183" s="18"/>
      <c r="AD183" s="18"/>
      <c r="AE183" s="18"/>
      <c r="AF183" s="18"/>
    </row>
    <row r="184">
      <c r="A184" s="19"/>
      <c r="B184" s="18"/>
      <c r="AC184" s="18"/>
      <c r="AD184" s="18"/>
      <c r="AE184" s="18"/>
      <c r="AF184" s="18"/>
    </row>
    <row r="185">
      <c r="A185" s="19"/>
      <c r="B185" s="18"/>
      <c r="AC185" s="18"/>
      <c r="AD185" s="18"/>
      <c r="AE185" s="18"/>
      <c r="AF185" s="18"/>
    </row>
    <row r="186">
      <c r="A186" s="19"/>
      <c r="B186" s="18"/>
      <c r="AC186" s="18"/>
      <c r="AD186" s="18"/>
      <c r="AE186" s="18"/>
      <c r="AF186" s="18"/>
    </row>
    <row r="187">
      <c r="A187" s="19"/>
      <c r="B187" s="18"/>
      <c r="AC187" s="18"/>
      <c r="AD187" s="18"/>
      <c r="AE187" s="18"/>
      <c r="AF187" s="18"/>
    </row>
    <row r="188">
      <c r="A188" s="19"/>
      <c r="B188" s="18"/>
      <c r="AC188" s="18"/>
      <c r="AD188" s="18"/>
      <c r="AE188" s="18"/>
      <c r="AF188" s="18"/>
    </row>
    <row r="189">
      <c r="A189" s="19"/>
      <c r="B189" s="18"/>
      <c r="AC189" s="18"/>
      <c r="AD189" s="18"/>
      <c r="AE189" s="18"/>
      <c r="AF189" s="18"/>
    </row>
    <row r="190">
      <c r="A190" s="19"/>
      <c r="B190" s="18"/>
      <c r="AC190" s="18"/>
      <c r="AD190" s="18"/>
      <c r="AE190" s="18"/>
      <c r="AF190" s="18"/>
    </row>
    <row r="191">
      <c r="A191" s="19"/>
      <c r="B191" s="18"/>
      <c r="AC191" s="18"/>
      <c r="AD191" s="18"/>
      <c r="AE191" s="18"/>
      <c r="AF191" s="18"/>
    </row>
    <row r="192">
      <c r="A192" s="19"/>
      <c r="B192" s="18"/>
      <c r="AC192" s="18"/>
      <c r="AD192" s="18"/>
      <c r="AE192" s="18"/>
      <c r="AF192" s="18"/>
    </row>
    <row r="193">
      <c r="A193" s="19"/>
      <c r="B193" s="18"/>
      <c r="AC193" s="18"/>
      <c r="AD193" s="18"/>
      <c r="AE193" s="18"/>
      <c r="AF193" s="18"/>
    </row>
    <row r="194">
      <c r="A194" s="19"/>
      <c r="B194" s="18"/>
      <c r="AC194" s="18"/>
      <c r="AD194" s="18"/>
      <c r="AE194" s="18"/>
      <c r="AF194" s="18"/>
    </row>
    <row r="195">
      <c r="A195" s="19"/>
      <c r="B195" s="18"/>
      <c r="AC195" s="18"/>
      <c r="AD195" s="18"/>
      <c r="AE195" s="18"/>
      <c r="AF195" s="18"/>
    </row>
    <row r="196">
      <c r="A196" s="19"/>
      <c r="B196" s="18"/>
      <c r="AC196" s="18"/>
      <c r="AD196" s="18"/>
      <c r="AE196" s="18"/>
      <c r="AF196" s="18"/>
    </row>
    <row r="197">
      <c r="A197" s="19"/>
      <c r="B197" s="18"/>
      <c r="AC197" s="18"/>
      <c r="AD197" s="18"/>
      <c r="AE197" s="18"/>
      <c r="AF197" s="18"/>
    </row>
    <row r="198">
      <c r="A198" s="19"/>
      <c r="B198" s="18"/>
      <c r="AC198" s="18"/>
      <c r="AD198" s="18"/>
      <c r="AE198" s="18"/>
      <c r="AF198" s="18"/>
    </row>
    <row r="199">
      <c r="A199" s="19"/>
      <c r="B199" s="18"/>
      <c r="AC199" s="18"/>
      <c r="AD199" s="18"/>
      <c r="AE199" s="18"/>
      <c r="AF199" s="18"/>
    </row>
    <row r="200">
      <c r="A200" s="19"/>
      <c r="B200" s="18"/>
      <c r="AC200" s="18"/>
      <c r="AD200" s="18"/>
      <c r="AE200" s="18"/>
      <c r="AF200" s="18"/>
    </row>
    <row r="201">
      <c r="A201" s="19"/>
      <c r="B201" s="18"/>
      <c r="AC201" s="18"/>
      <c r="AD201" s="18"/>
      <c r="AE201" s="18"/>
      <c r="AF201" s="18"/>
    </row>
    <row r="202">
      <c r="A202" s="19"/>
      <c r="B202" s="18"/>
      <c r="AC202" s="18"/>
      <c r="AD202" s="18"/>
      <c r="AE202" s="18"/>
      <c r="AF202" s="18"/>
    </row>
    <row r="203">
      <c r="A203" s="19"/>
      <c r="B203" s="18"/>
      <c r="AC203" s="18"/>
      <c r="AD203" s="18"/>
      <c r="AE203" s="18"/>
      <c r="AF203" s="18"/>
    </row>
    <row r="204">
      <c r="A204" s="19"/>
      <c r="B204" s="18"/>
      <c r="AC204" s="18"/>
      <c r="AD204" s="18"/>
      <c r="AE204" s="18"/>
      <c r="AF204" s="18"/>
    </row>
    <row r="205">
      <c r="A205" s="19"/>
      <c r="B205" s="18"/>
      <c r="AC205" s="18"/>
      <c r="AD205" s="18"/>
      <c r="AE205" s="18"/>
      <c r="AF205" s="18"/>
    </row>
    <row r="206">
      <c r="A206" s="19"/>
      <c r="B206" s="18"/>
      <c r="AC206" s="18"/>
      <c r="AD206" s="18"/>
      <c r="AE206" s="18"/>
      <c r="AF206" s="18"/>
    </row>
    <row r="207">
      <c r="A207" s="19"/>
      <c r="B207" s="18"/>
      <c r="AC207" s="18"/>
      <c r="AD207" s="18"/>
      <c r="AE207" s="18"/>
      <c r="AF207" s="18"/>
    </row>
    <row r="208">
      <c r="A208" s="19"/>
      <c r="B208" s="18"/>
      <c r="AC208" s="18"/>
      <c r="AD208" s="18"/>
      <c r="AE208" s="18"/>
      <c r="AF208" s="18"/>
    </row>
    <row r="209">
      <c r="A209" s="19"/>
      <c r="B209" s="18"/>
      <c r="AC209" s="18"/>
      <c r="AD209" s="18"/>
      <c r="AE209" s="18"/>
      <c r="AF209" s="18"/>
    </row>
    <row r="210">
      <c r="A210" s="19"/>
      <c r="B210" s="18"/>
      <c r="AC210" s="18"/>
      <c r="AD210" s="18"/>
      <c r="AE210" s="18"/>
      <c r="AF210" s="18"/>
    </row>
    <row r="211">
      <c r="A211" s="19"/>
      <c r="B211" s="18"/>
      <c r="AC211" s="18"/>
      <c r="AD211" s="18"/>
      <c r="AE211" s="18"/>
      <c r="AF211" s="18"/>
    </row>
    <row r="212">
      <c r="A212" s="19"/>
      <c r="B212" s="18"/>
      <c r="AC212" s="18"/>
      <c r="AD212" s="18"/>
      <c r="AE212" s="18"/>
      <c r="AF212" s="18"/>
    </row>
    <row r="213">
      <c r="A213" s="19"/>
      <c r="B213" s="18"/>
      <c r="AC213" s="18"/>
      <c r="AD213" s="18"/>
      <c r="AE213" s="18"/>
      <c r="AF213" s="18"/>
    </row>
    <row r="214">
      <c r="A214" s="19"/>
      <c r="B214" s="18"/>
      <c r="AC214" s="18"/>
      <c r="AD214" s="18"/>
      <c r="AE214" s="18"/>
      <c r="AF214" s="18"/>
    </row>
    <row r="215">
      <c r="A215" s="19"/>
      <c r="B215" s="18"/>
      <c r="AC215" s="18"/>
      <c r="AD215" s="18"/>
      <c r="AE215" s="18"/>
      <c r="AF215" s="18"/>
    </row>
    <row r="216">
      <c r="A216" s="19"/>
      <c r="B216" s="18"/>
      <c r="AC216" s="18"/>
      <c r="AD216" s="18"/>
      <c r="AE216" s="18"/>
      <c r="AF216" s="18"/>
    </row>
    <row r="217">
      <c r="A217" s="19"/>
      <c r="B217" s="18"/>
      <c r="AC217" s="18"/>
      <c r="AD217" s="18"/>
      <c r="AE217" s="18"/>
      <c r="AF217" s="18"/>
    </row>
    <row r="218">
      <c r="A218" s="19"/>
      <c r="B218" s="18"/>
      <c r="AC218" s="18"/>
      <c r="AD218" s="18"/>
      <c r="AE218" s="18"/>
      <c r="AF218" s="18"/>
    </row>
    <row r="219">
      <c r="A219" s="19"/>
      <c r="B219" s="18"/>
      <c r="AC219" s="18"/>
      <c r="AD219" s="18"/>
      <c r="AE219" s="18"/>
      <c r="AF219" s="18"/>
    </row>
    <row r="220">
      <c r="A220" s="19"/>
      <c r="B220" s="18"/>
      <c r="AC220" s="18"/>
      <c r="AD220" s="18"/>
      <c r="AE220" s="18"/>
      <c r="AF220" s="18"/>
    </row>
    <row r="221">
      <c r="A221" s="19"/>
      <c r="B221" s="18"/>
      <c r="AC221" s="18"/>
      <c r="AD221" s="18"/>
      <c r="AE221" s="18"/>
      <c r="AF221" s="18"/>
    </row>
    <row r="222">
      <c r="A222" s="19"/>
      <c r="B222" s="18"/>
      <c r="AC222" s="18"/>
      <c r="AD222" s="18"/>
      <c r="AE222" s="18"/>
      <c r="AF222" s="18"/>
    </row>
    <row r="223">
      <c r="A223" s="19"/>
      <c r="B223" s="18"/>
      <c r="AC223" s="18"/>
      <c r="AD223" s="18"/>
      <c r="AE223" s="18"/>
      <c r="AF223" s="18"/>
    </row>
    <row r="224">
      <c r="A224" s="19"/>
      <c r="B224" s="18"/>
      <c r="AC224" s="18"/>
      <c r="AD224" s="18"/>
      <c r="AE224" s="18"/>
      <c r="AF224" s="18"/>
    </row>
    <row r="225">
      <c r="A225" s="19"/>
      <c r="B225" s="18"/>
      <c r="AC225" s="18"/>
      <c r="AD225" s="18"/>
      <c r="AE225" s="18"/>
      <c r="AF225" s="18"/>
    </row>
    <row r="226">
      <c r="A226" s="19"/>
      <c r="B226" s="18"/>
      <c r="AC226" s="18"/>
      <c r="AD226" s="18"/>
      <c r="AE226" s="18"/>
      <c r="AF226" s="18"/>
    </row>
    <row r="227">
      <c r="A227" s="19"/>
      <c r="B227" s="18"/>
      <c r="AC227" s="18"/>
      <c r="AD227" s="18"/>
      <c r="AE227" s="18"/>
      <c r="AF227" s="18"/>
    </row>
    <row r="228">
      <c r="A228" s="19"/>
      <c r="B228" s="18"/>
      <c r="AC228" s="18"/>
      <c r="AD228" s="18"/>
      <c r="AE228" s="18"/>
      <c r="AF228" s="18"/>
    </row>
    <row r="229">
      <c r="A229" s="19"/>
      <c r="B229" s="18"/>
      <c r="AC229" s="18"/>
      <c r="AD229" s="18"/>
      <c r="AE229" s="18"/>
      <c r="AF229" s="18"/>
    </row>
    <row r="230">
      <c r="A230" s="19"/>
      <c r="B230" s="18"/>
      <c r="AC230" s="18"/>
      <c r="AD230" s="18"/>
      <c r="AE230" s="18"/>
      <c r="AF230" s="18"/>
    </row>
    <row r="231">
      <c r="A231" s="19"/>
      <c r="B231" s="18"/>
      <c r="AC231" s="18"/>
      <c r="AD231" s="18"/>
      <c r="AE231" s="18"/>
      <c r="AF231" s="18"/>
    </row>
    <row r="232">
      <c r="A232" s="19"/>
      <c r="B232" s="18"/>
      <c r="AC232" s="18"/>
      <c r="AD232" s="18"/>
      <c r="AE232" s="18"/>
      <c r="AF232" s="18"/>
    </row>
    <row r="233">
      <c r="A233" s="19"/>
      <c r="B233" s="18"/>
      <c r="AC233" s="18"/>
      <c r="AD233" s="18"/>
      <c r="AE233" s="18"/>
      <c r="AF233" s="18"/>
    </row>
    <row r="234">
      <c r="A234" s="19"/>
      <c r="B234" s="18"/>
      <c r="AC234" s="18"/>
      <c r="AD234" s="18"/>
      <c r="AE234" s="18"/>
      <c r="AF234" s="18"/>
    </row>
    <row r="235">
      <c r="A235" s="19"/>
      <c r="B235" s="18"/>
      <c r="AC235" s="18"/>
      <c r="AD235" s="18"/>
      <c r="AE235" s="18"/>
      <c r="AF235" s="18"/>
    </row>
    <row r="236">
      <c r="A236" s="19"/>
      <c r="B236" s="18"/>
      <c r="AC236" s="18"/>
      <c r="AD236" s="18"/>
      <c r="AE236" s="18"/>
      <c r="AF236" s="18"/>
    </row>
    <row r="237">
      <c r="A237" s="19"/>
      <c r="B237" s="18"/>
      <c r="AC237" s="18"/>
      <c r="AD237" s="18"/>
      <c r="AE237" s="18"/>
      <c r="AF237" s="18"/>
    </row>
    <row r="238">
      <c r="A238" s="19"/>
      <c r="B238" s="18"/>
      <c r="AC238" s="18"/>
      <c r="AD238" s="18"/>
      <c r="AE238" s="18"/>
      <c r="AF238" s="18"/>
    </row>
    <row r="239">
      <c r="A239" s="19"/>
      <c r="B239" s="18"/>
      <c r="AC239" s="18"/>
      <c r="AD239" s="18"/>
      <c r="AE239" s="18"/>
      <c r="AF239" s="18"/>
    </row>
    <row r="240">
      <c r="A240" s="19"/>
      <c r="B240" s="18"/>
      <c r="AC240" s="18"/>
      <c r="AD240" s="18"/>
      <c r="AE240" s="18"/>
      <c r="AF240" s="18"/>
    </row>
    <row r="241">
      <c r="A241" s="19"/>
      <c r="B241" s="18"/>
      <c r="AC241" s="18"/>
      <c r="AD241" s="18"/>
      <c r="AE241" s="18"/>
      <c r="AF241" s="18"/>
    </row>
    <row r="242">
      <c r="A242" s="19"/>
      <c r="B242" s="18"/>
      <c r="AC242" s="18"/>
      <c r="AD242" s="18"/>
      <c r="AE242" s="18"/>
      <c r="AF242" s="18"/>
    </row>
    <row r="243">
      <c r="A243" s="19"/>
      <c r="B243" s="18"/>
      <c r="AC243" s="18"/>
      <c r="AD243" s="18"/>
      <c r="AE243" s="18"/>
      <c r="AF243" s="18"/>
    </row>
    <row r="244">
      <c r="A244" s="19"/>
      <c r="B244" s="18"/>
      <c r="AC244" s="18"/>
      <c r="AD244" s="18"/>
      <c r="AE244" s="18"/>
      <c r="AF244" s="18"/>
    </row>
    <row r="245">
      <c r="A245" s="19"/>
      <c r="B245" s="18"/>
      <c r="AC245" s="18"/>
      <c r="AD245" s="18"/>
      <c r="AE245" s="18"/>
      <c r="AF245" s="18"/>
    </row>
    <row r="246">
      <c r="A246" s="19"/>
      <c r="B246" s="18"/>
      <c r="AC246" s="18"/>
      <c r="AD246" s="18"/>
      <c r="AE246" s="18"/>
      <c r="AF246" s="18"/>
    </row>
    <row r="247">
      <c r="A247" s="19"/>
      <c r="B247" s="18"/>
      <c r="AC247" s="18"/>
      <c r="AD247" s="18"/>
      <c r="AE247" s="18"/>
      <c r="AF247" s="18"/>
    </row>
    <row r="248">
      <c r="A248" s="19"/>
      <c r="B248" s="18"/>
      <c r="AC248" s="18"/>
      <c r="AD248" s="18"/>
      <c r="AE248" s="18"/>
      <c r="AF248" s="18"/>
    </row>
    <row r="249">
      <c r="A249" s="19"/>
      <c r="B249" s="18"/>
      <c r="AC249" s="18"/>
      <c r="AD249" s="18"/>
      <c r="AE249" s="18"/>
      <c r="AF249" s="18"/>
    </row>
    <row r="250">
      <c r="A250" s="19"/>
      <c r="B250" s="18"/>
      <c r="AC250" s="18"/>
      <c r="AD250" s="18"/>
      <c r="AE250" s="18"/>
      <c r="AF250" s="18"/>
    </row>
    <row r="251">
      <c r="A251" s="19"/>
      <c r="B251" s="18"/>
      <c r="AC251" s="18"/>
      <c r="AD251" s="18"/>
      <c r="AE251" s="18"/>
      <c r="AF251" s="18"/>
    </row>
    <row r="252">
      <c r="A252" s="19"/>
      <c r="B252" s="18"/>
      <c r="AC252" s="18"/>
      <c r="AD252" s="18"/>
      <c r="AE252" s="18"/>
      <c r="AF252" s="18"/>
    </row>
    <row r="253">
      <c r="A253" s="19"/>
      <c r="B253" s="18"/>
      <c r="AC253" s="18"/>
      <c r="AD253" s="18"/>
      <c r="AE253" s="18"/>
      <c r="AF253" s="18"/>
    </row>
    <row r="254">
      <c r="A254" s="19"/>
      <c r="B254" s="18"/>
      <c r="AC254" s="18"/>
      <c r="AD254" s="18"/>
      <c r="AE254" s="18"/>
      <c r="AF254" s="18"/>
    </row>
    <row r="255">
      <c r="A255" s="19"/>
      <c r="B255" s="18"/>
      <c r="AC255" s="18"/>
      <c r="AD255" s="18"/>
      <c r="AE255" s="18"/>
      <c r="AF255" s="18"/>
    </row>
    <row r="256">
      <c r="A256" s="19"/>
      <c r="B256" s="18"/>
      <c r="AC256" s="18"/>
      <c r="AD256" s="18"/>
      <c r="AE256" s="18"/>
      <c r="AF256" s="18"/>
    </row>
    <row r="257">
      <c r="A257" s="19"/>
      <c r="B257" s="18"/>
      <c r="AC257" s="18"/>
      <c r="AD257" s="18"/>
      <c r="AE257" s="18"/>
      <c r="AF257" s="18"/>
    </row>
    <row r="258">
      <c r="A258" s="19"/>
      <c r="B258" s="18"/>
      <c r="AC258" s="18"/>
      <c r="AD258" s="18"/>
      <c r="AE258" s="18"/>
      <c r="AF258" s="18"/>
    </row>
    <row r="259">
      <c r="A259" s="19"/>
      <c r="B259" s="18"/>
      <c r="AC259" s="18"/>
      <c r="AD259" s="18"/>
      <c r="AE259" s="18"/>
      <c r="AF259" s="18"/>
    </row>
    <row r="260">
      <c r="A260" s="19"/>
      <c r="B260" s="18"/>
      <c r="AC260" s="18"/>
      <c r="AD260" s="18"/>
      <c r="AE260" s="18"/>
      <c r="AF260" s="18"/>
    </row>
    <row r="261">
      <c r="A261" s="19"/>
      <c r="B261" s="18"/>
      <c r="AC261" s="18"/>
      <c r="AD261" s="18"/>
      <c r="AE261" s="18"/>
      <c r="AF261" s="18"/>
    </row>
    <row r="262">
      <c r="A262" s="19"/>
      <c r="B262" s="18"/>
      <c r="AC262" s="18"/>
      <c r="AD262" s="18"/>
      <c r="AE262" s="18"/>
      <c r="AF262" s="18"/>
    </row>
    <row r="263">
      <c r="A263" s="19"/>
      <c r="B263" s="18"/>
      <c r="AC263" s="18"/>
      <c r="AD263" s="18"/>
      <c r="AE263" s="18"/>
      <c r="AF263" s="18"/>
    </row>
    <row r="264">
      <c r="A264" s="19"/>
      <c r="B264" s="18"/>
      <c r="AC264" s="18"/>
      <c r="AD264" s="18"/>
      <c r="AE264" s="18"/>
      <c r="AF264" s="18"/>
    </row>
    <row r="265">
      <c r="A265" s="19"/>
      <c r="B265" s="18"/>
      <c r="AC265" s="18"/>
      <c r="AD265" s="18"/>
      <c r="AE265" s="18"/>
      <c r="AF265" s="18"/>
    </row>
    <row r="266">
      <c r="A266" s="19"/>
      <c r="B266" s="18"/>
      <c r="AC266" s="18"/>
      <c r="AD266" s="18"/>
      <c r="AE266" s="18"/>
      <c r="AF266" s="18"/>
    </row>
    <row r="267">
      <c r="A267" s="19"/>
      <c r="B267" s="18"/>
      <c r="AC267" s="18"/>
      <c r="AD267" s="18"/>
      <c r="AE267" s="18"/>
      <c r="AF267" s="18"/>
    </row>
    <row r="268">
      <c r="A268" s="19"/>
      <c r="B268" s="18"/>
      <c r="AC268" s="18"/>
      <c r="AD268" s="18"/>
      <c r="AE268" s="18"/>
      <c r="AF268" s="18"/>
    </row>
    <row r="269">
      <c r="A269" s="19"/>
      <c r="B269" s="18"/>
      <c r="AC269" s="18"/>
      <c r="AD269" s="18"/>
      <c r="AE269" s="18"/>
      <c r="AF269" s="18"/>
    </row>
    <row r="270">
      <c r="A270" s="19"/>
      <c r="B270" s="18"/>
      <c r="AC270" s="18"/>
      <c r="AD270" s="18"/>
      <c r="AE270" s="18"/>
      <c r="AF270" s="18"/>
    </row>
    <row r="271">
      <c r="A271" s="19"/>
      <c r="B271" s="18"/>
      <c r="AC271" s="18"/>
      <c r="AD271" s="18"/>
      <c r="AE271" s="18"/>
      <c r="AF271" s="18"/>
    </row>
    <row r="272">
      <c r="A272" s="19"/>
      <c r="B272" s="18"/>
      <c r="AC272" s="18"/>
      <c r="AD272" s="18"/>
      <c r="AE272" s="18"/>
      <c r="AF272" s="18"/>
    </row>
    <row r="273">
      <c r="A273" s="19"/>
      <c r="B273" s="18"/>
      <c r="AC273" s="18"/>
      <c r="AD273" s="18"/>
      <c r="AE273" s="18"/>
      <c r="AF273" s="18"/>
    </row>
    <row r="274">
      <c r="A274" s="19"/>
      <c r="B274" s="18"/>
      <c r="AC274" s="18"/>
      <c r="AD274" s="18"/>
      <c r="AE274" s="18"/>
      <c r="AF274" s="18"/>
    </row>
    <row r="275">
      <c r="A275" s="19"/>
      <c r="B275" s="18"/>
      <c r="AC275" s="18"/>
      <c r="AD275" s="18"/>
      <c r="AE275" s="18"/>
      <c r="AF275" s="18"/>
    </row>
    <row r="276">
      <c r="A276" s="19"/>
      <c r="B276" s="18"/>
      <c r="AC276" s="18"/>
      <c r="AD276" s="18"/>
      <c r="AE276" s="18"/>
      <c r="AF276" s="18"/>
    </row>
    <row r="277">
      <c r="A277" s="19"/>
      <c r="B277" s="18"/>
      <c r="AC277" s="18"/>
      <c r="AD277" s="18"/>
      <c r="AE277" s="18"/>
      <c r="AF277" s="18"/>
    </row>
    <row r="278">
      <c r="A278" s="19"/>
      <c r="B278" s="18"/>
      <c r="AC278" s="18"/>
      <c r="AD278" s="18"/>
      <c r="AE278" s="18"/>
      <c r="AF278" s="18"/>
    </row>
    <row r="279">
      <c r="A279" s="19"/>
      <c r="B279" s="18"/>
      <c r="AC279" s="18"/>
      <c r="AD279" s="18"/>
      <c r="AE279" s="18"/>
      <c r="AF279" s="18"/>
    </row>
    <row r="280">
      <c r="A280" s="19"/>
      <c r="B280" s="18"/>
      <c r="AC280" s="18"/>
      <c r="AD280" s="18"/>
      <c r="AE280" s="18"/>
      <c r="AF280" s="18"/>
    </row>
    <row r="281">
      <c r="A281" s="19"/>
      <c r="B281" s="18"/>
      <c r="AC281" s="18"/>
      <c r="AD281" s="18"/>
      <c r="AE281" s="18"/>
      <c r="AF281" s="18"/>
    </row>
    <row r="282">
      <c r="A282" s="19"/>
      <c r="B282" s="18"/>
      <c r="AC282" s="18"/>
      <c r="AD282" s="18"/>
      <c r="AE282" s="18"/>
      <c r="AF282" s="18"/>
    </row>
    <row r="283">
      <c r="A283" s="19"/>
      <c r="B283" s="18"/>
      <c r="AC283" s="18"/>
      <c r="AD283" s="18"/>
      <c r="AE283" s="18"/>
      <c r="AF283" s="18"/>
    </row>
    <row r="284">
      <c r="A284" s="19"/>
      <c r="B284" s="18"/>
      <c r="AC284" s="18"/>
      <c r="AD284" s="18"/>
      <c r="AE284" s="18"/>
      <c r="AF284" s="18"/>
    </row>
    <row r="285">
      <c r="A285" s="19"/>
      <c r="B285" s="18"/>
      <c r="AC285" s="18"/>
      <c r="AD285" s="18"/>
      <c r="AE285" s="18"/>
      <c r="AF285" s="18"/>
    </row>
    <row r="286">
      <c r="A286" s="19"/>
      <c r="B286" s="18"/>
      <c r="AC286" s="18"/>
      <c r="AD286" s="18"/>
      <c r="AE286" s="18"/>
      <c r="AF286" s="18"/>
    </row>
    <row r="287">
      <c r="A287" s="19"/>
      <c r="B287" s="18"/>
      <c r="AC287" s="18"/>
      <c r="AD287" s="18"/>
      <c r="AE287" s="18"/>
      <c r="AF287" s="18"/>
    </row>
    <row r="288">
      <c r="A288" s="19"/>
      <c r="B288" s="18"/>
      <c r="AC288" s="18"/>
      <c r="AD288" s="18"/>
      <c r="AE288" s="18"/>
      <c r="AF288" s="18"/>
    </row>
    <row r="289">
      <c r="A289" s="19"/>
      <c r="B289" s="18"/>
      <c r="AC289" s="18"/>
      <c r="AD289" s="18"/>
      <c r="AE289" s="18"/>
      <c r="AF289" s="18"/>
    </row>
    <row r="290">
      <c r="A290" s="19"/>
      <c r="B290" s="18"/>
      <c r="AC290" s="18"/>
      <c r="AD290" s="18"/>
      <c r="AE290" s="18"/>
      <c r="AF290" s="18"/>
    </row>
    <row r="291">
      <c r="A291" s="19"/>
      <c r="B291" s="18"/>
      <c r="AC291" s="18"/>
      <c r="AD291" s="18"/>
      <c r="AE291" s="18"/>
      <c r="AF291" s="18"/>
    </row>
    <row r="292">
      <c r="A292" s="19"/>
      <c r="B292" s="18"/>
      <c r="AC292" s="18"/>
      <c r="AD292" s="18"/>
      <c r="AE292" s="18"/>
      <c r="AF292" s="18"/>
    </row>
    <row r="293">
      <c r="A293" s="19"/>
      <c r="B293" s="18"/>
      <c r="AC293" s="18"/>
      <c r="AD293" s="18"/>
      <c r="AE293" s="18"/>
      <c r="AF293" s="18"/>
    </row>
    <row r="294">
      <c r="A294" s="19"/>
      <c r="B294" s="18"/>
      <c r="AC294" s="18"/>
      <c r="AD294" s="18"/>
      <c r="AE294" s="18"/>
      <c r="AF294" s="18"/>
    </row>
    <row r="295">
      <c r="A295" s="19"/>
      <c r="B295" s="18"/>
      <c r="AC295" s="18"/>
      <c r="AD295" s="18"/>
      <c r="AE295" s="18"/>
      <c r="AF295" s="18"/>
    </row>
    <row r="296">
      <c r="A296" s="19"/>
      <c r="B296" s="18"/>
      <c r="AC296" s="18"/>
      <c r="AD296" s="18"/>
      <c r="AE296" s="18"/>
      <c r="AF296" s="18"/>
    </row>
    <row r="297">
      <c r="A297" s="19"/>
      <c r="B297" s="18"/>
      <c r="AC297" s="18"/>
      <c r="AD297" s="18"/>
      <c r="AE297" s="18"/>
      <c r="AF297" s="18"/>
    </row>
    <row r="298">
      <c r="A298" s="19"/>
      <c r="B298" s="18"/>
      <c r="AC298" s="18"/>
      <c r="AD298" s="18"/>
      <c r="AE298" s="18"/>
      <c r="AF298" s="18"/>
    </row>
    <row r="299">
      <c r="A299" s="19"/>
      <c r="B299" s="18"/>
      <c r="AC299" s="18"/>
      <c r="AD299" s="18"/>
      <c r="AE299" s="18"/>
      <c r="AF299" s="18"/>
    </row>
    <row r="300">
      <c r="A300" s="19"/>
      <c r="B300" s="18"/>
      <c r="AC300" s="18"/>
      <c r="AD300" s="18"/>
      <c r="AE300" s="18"/>
      <c r="AF300" s="18"/>
    </row>
    <row r="301">
      <c r="A301" s="19"/>
      <c r="B301" s="18"/>
      <c r="AC301" s="18"/>
      <c r="AD301" s="18"/>
      <c r="AE301" s="18"/>
      <c r="AF301" s="18"/>
    </row>
    <row r="302">
      <c r="A302" s="19"/>
      <c r="B302" s="18"/>
      <c r="AC302" s="18"/>
      <c r="AD302" s="18"/>
      <c r="AE302" s="18"/>
      <c r="AF302" s="18"/>
    </row>
    <row r="303">
      <c r="A303" s="19"/>
      <c r="B303" s="18"/>
      <c r="AC303" s="18"/>
      <c r="AD303" s="18"/>
      <c r="AE303" s="18"/>
      <c r="AF303" s="18"/>
    </row>
    <row r="304">
      <c r="A304" s="19"/>
      <c r="B304" s="18"/>
      <c r="AC304" s="18"/>
      <c r="AD304" s="18"/>
      <c r="AE304" s="18"/>
      <c r="AF304" s="18"/>
    </row>
    <row r="305">
      <c r="A305" s="19"/>
      <c r="B305" s="18"/>
      <c r="AC305" s="18"/>
      <c r="AD305" s="18"/>
      <c r="AE305" s="18"/>
      <c r="AF305" s="18"/>
    </row>
    <row r="306">
      <c r="A306" s="19"/>
      <c r="B306" s="18"/>
      <c r="AC306" s="18"/>
      <c r="AD306" s="18"/>
      <c r="AE306" s="18"/>
      <c r="AF306" s="18"/>
    </row>
    <row r="307">
      <c r="A307" s="19"/>
      <c r="B307" s="18"/>
      <c r="AC307" s="18"/>
      <c r="AD307" s="18"/>
      <c r="AE307" s="18"/>
      <c r="AF307" s="18"/>
    </row>
    <row r="308">
      <c r="A308" s="19"/>
      <c r="B308" s="18"/>
      <c r="AC308" s="18"/>
      <c r="AD308" s="18"/>
      <c r="AE308" s="18"/>
      <c r="AF308" s="18"/>
    </row>
    <row r="309">
      <c r="A309" s="19"/>
      <c r="B309" s="18"/>
      <c r="AC309" s="18"/>
      <c r="AD309" s="18"/>
      <c r="AE309" s="18"/>
      <c r="AF309" s="18"/>
    </row>
    <row r="310">
      <c r="A310" s="19"/>
      <c r="B310" s="18"/>
      <c r="AC310" s="18"/>
      <c r="AD310" s="18"/>
      <c r="AE310" s="18"/>
      <c r="AF310" s="18"/>
    </row>
    <row r="311">
      <c r="A311" s="19"/>
      <c r="B311" s="18"/>
      <c r="AC311" s="18"/>
      <c r="AD311" s="18"/>
      <c r="AE311" s="18"/>
      <c r="AF311" s="18"/>
    </row>
    <row r="312">
      <c r="A312" s="19"/>
      <c r="B312" s="18"/>
      <c r="AC312" s="18"/>
      <c r="AD312" s="18"/>
      <c r="AE312" s="18"/>
      <c r="AF312" s="18"/>
    </row>
    <row r="313">
      <c r="A313" s="19"/>
      <c r="B313" s="18"/>
      <c r="AC313" s="18"/>
      <c r="AD313" s="18"/>
      <c r="AE313" s="18"/>
      <c r="AF313" s="18"/>
    </row>
    <row r="314">
      <c r="A314" s="19"/>
      <c r="B314" s="18"/>
      <c r="AC314" s="18"/>
      <c r="AD314" s="18"/>
      <c r="AE314" s="18"/>
      <c r="AF314" s="18"/>
    </row>
    <row r="315">
      <c r="A315" s="19"/>
      <c r="B315" s="18"/>
      <c r="AC315" s="18"/>
      <c r="AD315" s="18"/>
      <c r="AE315" s="18"/>
      <c r="AF315" s="18"/>
    </row>
    <row r="316">
      <c r="A316" s="19"/>
      <c r="B316" s="18"/>
      <c r="AC316" s="18"/>
      <c r="AD316" s="18"/>
      <c r="AE316" s="18"/>
      <c r="AF316" s="18"/>
    </row>
    <row r="317">
      <c r="A317" s="19"/>
      <c r="B317" s="18"/>
      <c r="AC317" s="18"/>
      <c r="AD317" s="18"/>
      <c r="AE317" s="18"/>
      <c r="AF317" s="18"/>
    </row>
    <row r="318">
      <c r="A318" s="19"/>
      <c r="B318" s="18"/>
      <c r="AC318" s="18"/>
      <c r="AD318" s="18"/>
      <c r="AE318" s="18"/>
      <c r="AF318" s="18"/>
    </row>
    <row r="319">
      <c r="A319" s="19"/>
      <c r="B319" s="18"/>
      <c r="AC319" s="18"/>
      <c r="AD319" s="18"/>
      <c r="AE319" s="18"/>
      <c r="AF319" s="18"/>
    </row>
    <row r="320">
      <c r="A320" s="19"/>
      <c r="B320" s="18"/>
      <c r="AC320" s="18"/>
      <c r="AD320" s="18"/>
      <c r="AE320" s="18"/>
      <c r="AF320" s="18"/>
    </row>
    <row r="321">
      <c r="A321" s="19"/>
      <c r="B321" s="18"/>
      <c r="AC321" s="18"/>
      <c r="AD321" s="18"/>
      <c r="AE321" s="18"/>
      <c r="AF321" s="18"/>
    </row>
    <row r="322">
      <c r="A322" s="19"/>
      <c r="B322" s="18"/>
      <c r="AC322" s="18"/>
      <c r="AD322" s="18"/>
      <c r="AE322" s="18"/>
      <c r="AF322" s="18"/>
    </row>
    <row r="323">
      <c r="A323" s="19"/>
      <c r="B323" s="18"/>
      <c r="AC323" s="18"/>
      <c r="AD323" s="18"/>
      <c r="AE323" s="18"/>
      <c r="AF323" s="18"/>
    </row>
    <row r="324">
      <c r="A324" s="19"/>
      <c r="B324" s="18"/>
      <c r="AC324" s="18"/>
      <c r="AD324" s="18"/>
      <c r="AE324" s="18"/>
      <c r="AF324" s="18"/>
    </row>
    <row r="325">
      <c r="A325" s="19"/>
      <c r="B325" s="18"/>
      <c r="AC325" s="18"/>
      <c r="AD325" s="18"/>
      <c r="AE325" s="18"/>
      <c r="AF325" s="18"/>
    </row>
    <row r="326">
      <c r="A326" s="19"/>
      <c r="B326" s="18"/>
      <c r="AC326" s="18"/>
      <c r="AD326" s="18"/>
      <c r="AE326" s="18"/>
      <c r="AF326" s="18"/>
    </row>
    <row r="327">
      <c r="A327" s="19"/>
      <c r="B327" s="18"/>
      <c r="AC327" s="18"/>
      <c r="AD327" s="18"/>
      <c r="AE327" s="18"/>
      <c r="AF327" s="18"/>
    </row>
    <row r="328">
      <c r="A328" s="19"/>
      <c r="B328" s="18"/>
      <c r="AC328" s="18"/>
      <c r="AD328" s="18"/>
      <c r="AE328" s="18"/>
      <c r="AF328" s="18"/>
    </row>
    <row r="329">
      <c r="A329" s="19"/>
      <c r="B329" s="18"/>
      <c r="AC329" s="18"/>
      <c r="AD329" s="18"/>
      <c r="AE329" s="18"/>
      <c r="AF329" s="18"/>
    </row>
    <row r="330">
      <c r="A330" s="19"/>
      <c r="B330" s="18"/>
      <c r="AC330" s="18"/>
      <c r="AD330" s="18"/>
      <c r="AE330" s="18"/>
      <c r="AF330" s="18"/>
    </row>
    <row r="331">
      <c r="A331" s="19"/>
      <c r="B331" s="18"/>
      <c r="AC331" s="18"/>
      <c r="AD331" s="18"/>
      <c r="AE331" s="18"/>
      <c r="AF331" s="18"/>
    </row>
    <row r="332">
      <c r="A332" s="19"/>
      <c r="B332" s="18"/>
      <c r="AC332" s="18"/>
      <c r="AD332" s="18"/>
      <c r="AE332" s="18"/>
      <c r="AF332" s="18"/>
    </row>
    <row r="333">
      <c r="A333" s="19"/>
      <c r="B333" s="18"/>
      <c r="AC333" s="18"/>
      <c r="AD333" s="18"/>
      <c r="AE333" s="18"/>
      <c r="AF333" s="18"/>
    </row>
    <row r="334">
      <c r="A334" s="19"/>
      <c r="B334" s="18"/>
      <c r="AC334" s="18"/>
      <c r="AD334" s="18"/>
      <c r="AE334" s="18"/>
      <c r="AF334" s="18"/>
    </row>
    <row r="335">
      <c r="A335" s="19"/>
      <c r="B335" s="18"/>
      <c r="AC335" s="18"/>
      <c r="AD335" s="18"/>
      <c r="AE335" s="18"/>
      <c r="AF335" s="18"/>
    </row>
    <row r="336">
      <c r="A336" s="19"/>
      <c r="B336" s="18"/>
      <c r="AC336" s="18"/>
      <c r="AD336" s="18"/>
      <c r="AE336" s="18"/>
      <c r="AF336" s="18"/>
    </row>
    <row r="337">
      <c r="A337" s="19"/>
      <c r="B337" s="18"/>
      <c r="AC337" s="18"/>
      <c r="AD337" s="18"/>
      <c r="AE337" s="18"/>
      <c r="AF337" s="18"/>
    </row>
    <row r="338">
      <c r="A338" s="19"/>
      <c r="B338" s="18"/>
      <c r="AC338" s="18"/>
      <c r="AD338" s="18"/>
      <c r="AE338" s="18"/>
      <c r="AF338" s="18"/>
    </row>
    <row r="339">
      <c r="A339" s="19"/>
      <c r="B339" s="18"/>
      <c r="AC339" s="18"/>
      <c r="AD339" s="18"/>
      <c r="AE339" s="18"/>
      <c r="AF339" s="18"/>
    </row>
    <row r="340">
      <c r="A340" s="19"/>
      <c r="B340" s="18"/>
      <c r="AC340" s="18"/>
      <c r="AD340" s="18"/>
      <c r="AE340" s="18"/>
      <c r="AF340" s="18"/>
    </row>
    <row r="341">
      <c r="A341" s="19"/>
      <c r="B341" s="18"/>
      <c r="AC341" s="18"/>
      <c r="AD341" s="18"/>
      <c r="AE341" s="18"/>
      <c r="AF341" s="18"/>
    </row>
    <row r="342">
      <c r="A342" s="19"/>
      <c r="B342" s="18"/>
      <c r="AC342" s="18"/>
      <c r="AD342" s="18"/>
      <c r="AE342" s="18"/>
      <c r="AF342" s="18"/>
    </row>
    <row r="343">
      <c r="A343" s="19"/>
      <c r="B343" s="18"/>
      <c r="AC343" s="18"/>
      <c r="AD343" s="18"/>
      <c r="AE343" s="18"/>
      <c r="AF343" s="18"/>
    </row>
    <row r="344">
      <c r="A344" s="19"/>
      <c r="B344" s="18"/>
      <c r="AC344" s="18"/>
      <c r="AD344" s="18"/>
      <c r="AE344" s="18"/>
      <c r="AF344" s="18"/>
    </row>
    <row r="345">
      <c r="A345" s="19"/>
      <c r="B345" s="18"/>
      <c r="AC345" s="18"/>
      <c r="AD345" s="18"/>
      <c r="AE345" s="18"/>
      <c r="AF345" s="18"/>
    </row>
    <row r="346">
      <c r="A346" s="19"/>
      <c r="B346" s="18"/>
      <c r="AC346" s="18"/>
      <c r="AD346" s="18"/>
      <c r="AE346" s="18"/>
      <c r="AF346" s="18"/>
    </row>
    <row r="347">
      <c r="A347" s="19"/>
      <c r="B347" s="18"/>
      <c r="AC347" s="18"/>
      <c r="AD347" s="18"/>
      <c r="AE347" s="18"/>
      <c r="AF347" s="18"/>
    </row>
    <row r="348">
      <c r="A348" s="19"/>
      <c r="B348" s="18"/>
      <c r="AC348" s="18"/>
      <c r="AD348" s="18"/>
      <c r="AE348" s="18"/>
      <c r="AF348" s="18"/>
    </row>
    <row r="349">
      <c r="A349" s="19"/>
      <c r="B349" s="18"/>
      <c r="AC349" s="18"/>
      <c r="AD349" s="18"/>
      <c r="AE349" s="18"/>
      <c r="AF349" s="18"/>
    </row>
    <row r="350">
      <c r="A350" s="19"/>
      <c r="B350" s="18"/>
      <c r="AC350" s="18"/>
      <c r="AD350" s="18"/>
      <c r="AE350" s="18"/>
      <c r="AF350" s="18"/>
    </row>
    <row r="351">
      <c r="A351" s="19"/>
      <c r="B351" s="18"/>
      <c r="AC351" s="18"/>
      <c r="AD351" s="18"/>
      <c r="AE351" s="18"/>
      <c r="AF351" s="18"/>
    </row>
    <row r="352">
      <c r="A352" s="19"/>
      <c r="B352" s="18"/>
      <c r="AC352" s="18"/>
      <c r="AD352" s="18"/>
      <c r="AE352" s="18"/>
      <c r="AF352" s="18"/>
    </row>
    <row r="353">
      <c r="A353" s="19"/>
      <c r="B353" s="18"/>
      <c r="AC353" s="18"/>
      <c r="AD353" s="18"/>
      <c r="AE353" s="18"/>
      <c r="AF353" s="18"/>
    </row>
    <row r="354">
      <c r="A354" s="19"/>
      <c r="B354" s="18"/>
      <c r="AC354" s="18"/>
      <c r="AD354" s="18"/>
      <c r="AE354" s="18"/>
      <c r="AF354" s="18"/>
    </row>
    <row r="355">
      <c r="A355" s="19"/>
      <c r="B355" s="18"/>
      <c r="AC355" s="18"/>
      <c r="AD355" s="18"/>
      <c r="AE355" s="18"/>
      <c r="AF355" s="18"/>
    </row>
    <row r="356">
      <c r="A356" s="19"/>
      <c r="B356" s="18"/>
      <c r="AC356" s="18"/>
      <c r="AD356" s="18"/>
      <c r="AE356" s="18"/>
      <c r="AF356" s="18"/>
    </row>
    <row r="357">
      <c r="A357" s="19"/>
      <c r="B357" s="18"/>
      <c r="AC357" s="18"/>
      <c r="AD357" s="18"/>
      <c r="AE357" s="18"/>
      <c r="AF357" s="18"/>
    </row>
    <row r="358">
      <c r="A358" s="19"/>
      <c r="B358" s="18"/>
      <c r="AC358" s="18"/>
      <c r="AD358" s="18"/>
      <c r="AE358" s="18"/>
      <c r="AF358" s="18"/>
    </row>
    <row r="359">
      <c r="A359" s="19"/>
      <c r="B359" s="18"/>
      <c r="AC359" s="18"/>
      <c r="AD359" s="18"/>
      <c r="AE359" s="18"/>
      <c r="AF359" s="18"/>
    </row>
    <row r="360">
      <c r="A360" s="19"/>
      <c r="B360" s="18"/>
      <c r="AC360" s="18"/>
      <c r="AD360" s="18"/>
      <c r="AE360" s="18"/>
      <c r="AF360" s="18"/>
    </row>
    <row r="361">
      <c r="A361" s="19"/>
      <c r="B361" s="18"/>
      <c r="AC361" s="18"/>
      <c r="AD361" s="18"/>
      <c r="AE361" s="18"/>
      <c r="AF361" s="18"/>
    </row>
    <row r="362">
      <c r="A362" s="19"/>
      <c r="B362" s="18"/>
      <c r="AC362" s="18"/>
      <c r="AD362" s="18"/>
      <c r="AE362" s="18"/>
      <c r="AF362" s="18"/>
    </row>
    <row r="363">
      <c r="A363" s="19"/>
      <c r="B363" s="18"/>
      <c r="AC363" s="18"/>
      <c r="AD363" s="18"/>
      <c r="AE363" s="18"/>
      <c r="AF363" s="18"/>
    </row>
    <row r="364">
      <c r="A364" s="19"/>
      <c r="B364" s="18"/>
      <c r="AC364" s="18"/>
      <c r="AD364" s="18"/>
      <c r="AE364" s="18"/>
      <c r="AF364" s="18"/>
    </row>
    <row r="365">
      <c r="A365" s="19"/>
      <c r="B365" s="18"/>
      <c r="AC365" s="18"/>
      <c r="AD365" s="18"/>
      <c r="AE365" s="18"/>
      <c r="AF365" s="18"/>
    </row>
    <row r="366">
      <c r="A366" s="19"/>
      <c r="B366" s="18"/>
      <c r="AC366" s="18"/>
      <c r="AD366" s="18"/>
      <c r="AE366" s="18"/>
      <c r="AF366" s="18"/>
    </row>
    <row r="367">
      <c r="A367" s="19"/>
      <c r="B367" s="18"/>
      <c r="AC367" s="18"/>
      <c r="AD367" s="18"/>
      <c r="AE367" s="18"/>
      <c r="AF367" s="18"/>
    </row>
    <row r="368">
      <c r="A368" s="19"/>
      <c r="B368" s="18"/>
      <c r="AC368" s="18"/>
      <c r="AD368" s="18"/>
      <c r="AE368" s="18"/>
      <c r="AF368" s="18"/>
    </row>
    <row r="369">
      <c r="A369" s="19"/>
      <c r="B369" s="18"/>
      <c r="AC369" s="18"/>
      <c r="AD369" s="18"/>
      <c r="AE369" s="18"/>
      <c r="AF369" s="18"/>
    </row>
    <row r="370">
      <c r="A370" s="19"/>
      <c r="B370" s="18"/>
      <c r="AC370" s="18"/>
      <c r="AD370" s="18"/>
      <c r="AE370" s="18"/>
      <c r="AF370" s="18"/>
    </row>
    <row r="371">
      <c r="A371" s="19"/>
      <c r="B371" s="18"/>
      <c r="AC371" s="18"/>
      <c r="AD371" s="18"/>
      <c r="AE371" s="18"/>
      <c r="AF371" s="18"/>
    </row>
    <row r="372">
      <c r="A372" s="19"/>
      <c r="B372" s="18"/>
      <c r="AC372" s="18"/>
      <c r="AD372" s="18"/>
      <c r="AE372" s="18"/>
      <c r="AF372" s="18"/>
    </row>
    <row r="373">
      <c r="A373" s="19"/>
      <c r="B373" s="18"/>
      <c r="AC373" s="18"/>
      <c r="AD373" s="18"/>
      <c r="AE373" s="18"/>
      <c r="AF373" s="18"/>
    </row>
    <row r="374">
      <c r="A374" s="19"/>
      <c r="B374" s="18"/>
      <c r="AC374" s="18"/>
      <c r="AD374" s="18"/>
      <c r="AE374" s="18"/>
      <c r="AF374" s="18"/>
    </row>
    <row r="375">
      <c r="A375" s="19"/>
      <c r="B375" s="18"/>
      <c r="AC375" s="18"/>
      <c r="AD375" s="18"/>
      <c r="AE375" s="18"/>
      <c r="AF375" s="18"/>
    </row>
    <row r="376">
      <c r="A376" s="19"/>
      <c r="B376" s="18"/>
      <c r="AC376" s="18"/>
      <c r="AD376" s="18"/>
      <c r="AE376" s="18"/>
      <c r="AF376" s="18"/>
    </row>
    <row r="377">
      <c r="A377" s="19"/>
      <c r="B377" s="18"/>
      <c r="AC377" s="18"/>
      <c r="AD377" s="18"/>
      <c r="AE377" s="18"/>
      <c r="AF377" s="18"/>
    </row>
    <row r="378">
      <c r="A378" s="19"/>
      <c r="B378" s="18"/>
      <c r="AC378" s="18"/>
      <c r="AD378" s="18"/>
      <c r="AE378" s="18"/>
      <c r="AF378" s="18"/>
    </row>
    <row r="379">
      <c r="A379" s="19"/>
      <c r="B379" s="18"/>
      <c r="AC379" s="18"/>
      <c r="AD379" s="18"/>
      <c r="AE379" s="18"/>
      <c r="AF379" s="18"/>
    </row>
    <row r="380">
      <c r="A380" s="19"/>
      <c r="B380" s="18"/>
      <c r="AC380" s="18"/>
      <c r="AD380" s="18"/>
      <c r="AE380" s="18"/>
      <c r="AF380" s="18"/>
    </row>
    <row r="381">
      <c r="A381" s="19"/>
      <c r="B381" s="18"/>
      <c r="AC381" s="18"/>
      <c r="AD381" s="18"/>
      <c r="AE381" s="18"/>
      <c r="AF381" s="18"/>
    </row>
    <row r="382">
      <c r="A382" s="19"/>
      <c r="B382" s="18"/>
      <c r="AC382" s="18"/>
      <c r="AD382" s="18"/>
      <c r="AE382" s="18"/>
      <c r="AF382" s="18"/>
    </row>
    <row r="383">
      <c r="A383" s="19"/>
      <c r="B383" s="18"/>
      <c r="AC383" s="18"/>
      <c r="AD383" s="18"/>
      <c r="AE383" s="18"/>
      <c r="AF383" s="18"/>
    </row>
    <row r="384">
      <c r="A384" s="19"/>
      <c r="B384" s="18"/>
      <c r="AC384" s="18"/>
      <c r="AD384" s="18"/>
      <c r="AE384" s="18"/>
      <c r="AF384" s="18"/>
    </row>
    <row r="385">
      <c r="A385" s="19"/>
      <c r="B385" s="18"/>
      <c r="AC385" s="18"/>
      <c r="AD385" s="18"/>
      <c r="AE385" s="18"/>
      <c r="AF385" s="18"/>
    </row>
    <row r="386">
      <c r="A386" s="19"/>
      <c r="B386" s="18"/>
      <c r="AC386" s="18"/>
      <c r="AD386" s="18"/>
      <c r="AE386" s="18"/>
      <c r="AF386" s="18"/>
    </row>
    <row r="387">
      <c r="A387" s="19"/>
      <c r="B387" s="18"/>
      <c r="AC387" s="18"/>
      <c r="AD387" s="18"/>
      <c r="AE387" s="18"/>
      <c r="AF387" s="18"/>
    </row>
    <row r="388">
      <c r="A388" s="19"/>
      <c r="B388" s="18"/>
      <c r="AC388" s="18"/>
      <c r="AD388" s="18"/>
      <c r="AE388" s="18"/>
      <c r="AF388" s="18"/>
    </row>
    <row r="389">
      <c r="A389" s="19"/>
      <c r="B389" s="18"/>
      <c r="AC389" s="18"/>
      <c r="AD389" s="18"/>
      <c r="AE389" s="18"/>
      <c r="AF389" s="18"/>
    </row>
    <row r="390">
      <c r="A390" s="19"/>
      <c r="B390" s="18"/>
      <c r="AC390" s="18"/>
      <c r="AD390" s="18"/>
      <c r="AE390" s="18"/>
      <c r="AF390" s="18"/>
    </row>
    <row r="391">
      <c r="A391" s="19"/>
      <c r="B391" s="18"/>
      <c r="AC391" s="18"/>
      <c r="AD391" s="18"/>
      <c r="AE391" s="18"/>
      <c r="AF391" s="18"/>
    </row>
    <row r="392">
      <c r="A392" s="19"/>
      <c r="B392" s="18"/>
      <c r="AC392" s="18"/>
      <c r="AD392" s="18"/>
      <c r="AE392" s="18"/>
      <c r="AF392" s="18"/>
    </row>
    <row r="393">
      <c r="A393" s="19"/>
      <c r="B393" s="18"/>
      <c r="AC393" s="18"/>
      <c r="AD393" s="18"/>
      <c r="AE393" s="18"/>
      <c r="AF393" s="18"/>
    </row>
    <row r="394">
      <c r="A394" s="19"/>
      <c r="B394" s="18"/>
      <c r="AC394" s="18"/>
      <c r="AD394" s="18"/>
      <c r="AE394" s="18"/>
      <c r="AF394" s="18"/>
    </row>
    <row r="395">
      <c r="A395" s="19"/>
      <c r="B395" s="18"/>
      <c r="AC395" s="18"/>
      <c r="AD395" s="18"/>
      <c r="AE395" s="18"/>
      <c r="AF395" s="18"/>
    </row>
    <row r="396">
      <c r="A396" s="19"/>
      <c r="B396" s="18"/>
      <c r="AC396" s="18"/>
      <c r="AD396" s="18"/>
      <c r="AE396" s="18"/>
      <c r="AF396" s="18"/>
    </row>
    <row r="397">
      <c r="A397" s="19"/>
      <c r="B397" s="18"/>
      <c r="AC397" s="18"/>
      <c r="AD397" s="18"/>
      <c r="AE397" s="18"/>
      <c r="AF397" s="18"/>
    </row>
    <row r="398">
      <c r="A398" s="19"/>
      <c r="B398" s="18"/>
      <c r="AC398" s="18"/>
      <c r="AD398" s="18"/>
      <c r="AE398" s="18"/>
      <c r="AF398" s="18"/>
    </row>
    <row r="399">
      <c r="A399" s="19"/>
      <c r="B399" s="18"/>
      <c r="AC399" s="18"/>
      <c r="AD399" s="18"/>
      <c r="AE399" s="18"/>
      <c r="AF399" s="18"/>
    </row>
    <row r="400">
      <c r="A400" s="19"/>
      <c r="B400" s="18"/>
      <c r="AC400" s="18"/>
      <c r="AD400" s="18"/>
      <c r="AE400" s="18"/>
      <c r="AF400" s="18"/>
    </row>
    <row r="401">
      <c r="A401" s="19"/>
      <c r="B401" s="18"/>
      <c r="AC401" s="18"/>
      <c r="AD401" s="18"/>
      <c r="AE401" s="18"/>
      <c r="AF401" s="18"/>
    </row>
    <row r="402">
      <c r="A402" s="19"/>
      <c r="B402" s="18"/>
      <c r="AC402" s="18"/>
      <c r="AD402" s="18"/>
      <c r="AE402" s="18"/>
      <c r="AF402" s="18"/>
    </row>
    <row r="403">
      <c r="A403" s="19"/>
      <c r="B403" s="18"/>
      <c r="AC403" s="18"/>
      <c r="AD403" s="18"/>
      <c r="AE403" s="18"/>
      <c r="AF403" s="18"/>
    </row>
    <row r="404">
      <c r="A404" s="19"/>
      <c r="B404" s="18"/>
      <c r="AC404" s="18"/>
      <c r="AD404" s="18"/>
      <c r="AE404" s="18"/>
      <c r="AF404" s="18"/>
    </row>
    <row r="405">
      <c r="A405" s="19"/>
      <c r="B405" s="18"/>
      <c r="AC405" s="18"/>
      <c r="AD405" s="18"/>
      <c r="AE405" s="18"/>
      <c r="AF405" s="18"/>
    </row>
    <row r="406">
      <c r="A406" s="19"/>
      <c r="B406" s="18"/>
      <c r="AC406" s="18"/>
      <c r="AD406" s="18"/>
      <c r="AE406" s="18"/>
      <c r="AF406" s="18"/>
    </row>
    <row r="407">
      <c r="A407" s="19"/>
      <c r="B407" s="18"/>
      <c r="AC407" s="18"/>
      <c r="AD407" s="18"/>
      <c r="AE407" s="18"/>
      <c r="AF407" s="18"/>
    </row>
    <row r="408">
      <c r="A408" s="19"/>
      <c r="B408" s="18"/>
      <c r="AC408" s="18"/>
      <c r="AD408" s="18"/>
      <c r="AE408" s="18"/>
      <c r="AF408" s="18"/>
    </row>
    <row r="409">
      <c r="A409" s="19"/>
      <c r="B409" s="18"/>
      <c r="AC409" s="18"/>
      <c r="AD409" s="18"/>
      <c r="AE409" s="18"/>
      <c r="AF409" s="18"/>
    </row>
    <row r="410">
      <c r="A410" s="19"/>
      <c r="B410" s="18"/>
      <c r="AC410" s="18"/>
      <c r="AD410" s="18"/>
      <c r="AE410" s="18"/>
      <c r="AF410" s="18"/>
    </row>
    <row r="411">
      <c r="A411" s="19"/>
      <c r="B411" s="18"/>
      <c r="AC411" s="18"/>
      <c r="AD411" s="18"/>
      <c r="AE411" s="18"/>
      <c r="AF411" s="18"/>
    </row>
    <row r="412">
      <c r="A412" s="19"/>
      <c r="B412" s="18"/>
      <c r="AC412" s="18"/>
      <c r="AD412" s="18"/>
      <c r="AE412" s="18"/>
      <c r="AF412" s="18"/>
    </row>
    <row r="413">
      <c r="A413" s="19"/>
      <c r="B413" s="18"/>
      <c r="AC413" s="18"/>
      <c r="AD413" s="18"/>
      <c r="AE413" s="18"/>
      <c r="AF413" s="18"/>
    </row>
    <row r="414">
      <c r="A414" s="19"/>
      <c r="B414" s="18"/>
      <c r="AC414" s="18"/>
      <c r="AD414" s="18"/>
      <c r="AE414" s="18"/>
      <c r="AF414" s="18"/>
    </row>
    <row r="415">
      <c r="A415" s="19"/>
      <c r="B415" s="18"/>
      <c r="AC415" s="18"/>
      <c r="AD415" s="18"/>
      <c r="AE415" s="18"/>
      <c r="AF415" s="18"/>
    </row>
    <row r="416">
      <c r="A416" s="19"/>
      <c r="B416" s="18"/>
      <c r="AC416" s="18"/>
      <c r="AD416" s="18"/>
      <c r="AE416" s="18"/>
      <c r="AF416" s="18"/>
    </row>
    <row r="417">
      <c r="A417" s="19"/>
      <c r="B417" s="18"/>
      <c r="AC417" s="18"/>
      <c r="AD417" s="18"/>
      <c r="AE417" s="18"/>
      <c r="AF417" s="18"/>
    </row>
    <row r="418">
      <c r="A418" s="19"/>
      <c r="B418" s="18"/>
      <c r="AC418" s="18"/>
      <c r="AD418" s="18"/>
      <c r="AE418" s="18"/>
      <c r="AF418" s="18"/>
    </row>
    <row r="419">
      <c r="A419" s="19"/>
      <c r="B419" s="18"/>
      <c r="AC419" s="18"/>
      <c r="AD419" s="18"/>
      <c r="AE419" s="18"/>
      <c r="AF419" s="18"/>
    </row>
    <row r="420">
      <c r="A420" s="19"/>
      <c r="B420" s="18"/>
      <c r="AC420" s="18"/>
      <c r="AD420" s="18"/>
      <c r="AE420" s="18"/>
      <c r="AF420" s="18"/>
    </row>
    <row r="421">
      <c r="A421" s="19"/>
      <c r="B421" s="18"/>
      <c r="AC421" s="18"/>
      <c r="AD421" s="18"/>
      <c r="AE421" s="18"/>
      <c r="AF421" s="18"/>
    </row>
    <row r="422">
      <c r="A422" s="19"/>
      <c r="B422" s="18"/>
      <c r="AC422" s="18"/>
      <c r="AD422" s="18"/>
      <c r="AE422" s="18"/>
      <c r="AF422" s="18"/>
    </row>
    <row r="423">
      <c r="A423" s="19"/>
      <c r="B423" s="18"/>
      <c r="AC423" s="18"/>
      <c r="AD423" s="18"/>
      <c r="AE423" s="18"/>
      <c r="AF423" s="18"/>
    </row>
    <row r="424">
      <c r="A424" s="19"/>
      <c r="B424" s="18"/>
      <c r="AC424" s="18"/>
      <c r="AD424" s="18"/>
      <c r="AE424" s="18"/>
      <c r="AF424" s="18"/>
    </row>
    <row r="425">
      <c r="A425" s="19"/>
      <c r="B425" s="18"/>
      <c r="AC425" s="18"/>
      <c r="AD425" s="18"/>
      <c r="AE425" s="18"/>
      <c r="AF425" s="18"/>
    </row>
    <row r="426">
      <c r="A426" s="19"/>
      <c r="B426" s="18"/>
      <c r="AC426" s="18"/>
      <c r="AD426" s="18"/>
      <c r="AE426" s="18"/>
      <c r="AF426" s="18"/>
    </row>
    <row r="427">
      <c r="A427" s="19"/>
      <c r="B427" s="18"/>
      <c r="AC427" s="18"/>
      <c r="AD427" s="18"/>
      <c r="AE427" s="18"/>
      <c r="AF427" s="18"/>
    </row>
    <row r="428">
      <c r="A428" s="19"/>
      <c r="B428" s="18"/>
      <c r="AC428" s="18"/>
      <c r="AD428" s="18"/>
      <c r="AE428" s="18"/>
      <c r="AF428" s="18"/>
    </row>
    <row r="429">
      <c r="A429" s="19"/>
      <c r="B429" s="18"/>
      <c r="AC429" s="18"/>
      <c r="AD429" s="18"/>
      <c r="AE429" s="18"/>
      <c r="AF429" s="18"/>
    </row>
    <row r="430">
      <c r="A430" s="19"/>
      <c r="B430" s="18"/>
      <c r="AC430" s="18"/>
      <c r="AD430" s="18"/>
      <c r="AE430" s="18"/>
      <c r="AF430" s="18"/>
    </row>
    <row r="431">
      <c r="A431" s="19"/>
      <c r="B431" s="18"/>
      <c r="AC431" s="18"/>
      <c r="AD431" s="18"/>
      <c r="AE431" s="18"/>
      <c r="AF431" s="18"/>
    </row>
    <row r="432">
      <c r="A432" s="19"/>
      <c r="B432" s="18"/>
      <c r="AC432" s="18"/>
      <c r="AD432" s="18"/>
      <c r="AE432" s="18"/>
      <c r="AF432" s="18"/>
    </row>
    <row r="433">
      <c r="A433" s="19"/>
      <c r="B433" s="18"/>
      <c r="AC433" s="18"/>
      <c r="AD433" s="18"/>
      <c r="AE433" s="18"/>
      <c r="AF433" s="18"/>
    </row>
    <row r="434">
      <c r="A434" s="19"/>
      <c r="B434" s="18"/>
      <c r="AC434" s="18"/>
      <c r="AD434" s="18"/>
      <c r="AE434" s="18"/>
      <c r="AF434" s="18"/>
    </row>
    <row r="435">
      <c r="A435" s="19"/>
      <c r="B435" s="18"/>
      <c r="AC435" s="18"/>
      <c r="AD435" s="18"/>
      <c r="AE435" s="18"/>
      <c r="AF435" s="18"/>
    </row>
    <row r="436">
      <c r="A436" s="19"/>
      <c r="B436" s="18"/>
      <c r="AC436" s="18"/>
      <c r="AD436" s="18"/>
      <c r="AE436" s="18"/>
      <c r="AF436" s="18"/>
    </row>
    <row r="437">
      <c r="A437" s="19"/>
      <c r="B437" s="18"/>
      <c r="AC437" s="18"/>
      <c r="AD437" s="18"/>
      <c r="AE437" s="18"/>
      <c r="AF437" s="18"/>
    </row>
    <row r="438">
      <c r="A438" s="19"/>
      <c r="B438" s="18"/>
      <c r="AC438" s="18"/>
      <c r="AD438" s="18"/>
      <c r="AE438" s="18"/>
      <c r="AF438" s="18"/>
    </row>
    <row r="439">
      <c r="A439" s="19"/>
      <c r="B439" s="18"/>
      <c r="AC439" s="18"/>
      <c r="AD439" s="18"/>
      <c r="AE439" s="18"/>
      <c r="AF439" s="18"/>
    </row>
    <row r="440">
      <c r="A440" s="19"/>
      <c r="B440" s="18"/>
      <c r="AC440" s="18"/>
      <c r="AD440" s="18"/>
      <c r="AE440" s="18"/>
      <c r="AF440" s="18"/>
    </row>
    <row r="441">
      <c r="A441" s="19"/>
      <c r="B441" s="18"/>
      <c r="AC441" s="18"/>
      <c r="AD441" s="18"/>
      <c r="AE441" s="18"/>
      <c r="AF441" s="18"/>
    </row>
    <row r="442">
      <c r="A442" s="19"/>
      <c r="B442" s="18"/>
      <c r="AC442" s="18"/>
      <c r="AD442" s="18"/>
      <c r="AE442" s="18"/>
      <c r="AF442" s="18"/>
    </row>
    <row r="443">
      <c r="A443" s="19"/>
      <c r="B443" s="18"/>
      <c r="AC443" s="18"/>
      <c r="AD443" s="18"/>
      <c r="AE443" s="18"/>
      <c r="AF443" s="18"/>
    </row>
    <row r="444">
      <c r="A444" s="19"/>
      <c r="B444" s="18"/>
      <c r="AC444" s="18"/>
      <c r="AD444" s="18"/>
      <c r="AE444" s="18"/>
      <c r="AF444" s="18"/>
    </row>
    <row r="445">
      <c r="A445" s="19"/>
      <c r="B445" s="18"/>
      <c r="AC445" s="18"/>
      <c r="AD445" s="18"/>
      <c r="AE445" s="18"/>
      <c r="AF445" s="18"/>
    </row>
    <row r="446">
      <c r="A446" s="19"/>
      <c r="B446" s="18"/>
      <c r="AC446" s="18"/>
      <c r="AD446" s="18"/>
      <c r="AE446" s="18"/>
      <c r="AF446" s="18"/>
    </row>
    <row r="447">
      <c r="A447" s="19"/>
      <c r="B447" s="18"/>
      <c r="AC447" s="18"/>
      <c r="AD447" s="18"/>
      <c r="AE447" s="18"/>
      <c r="AF447" s="18"/>
    </row>
    <row r="448">
      <c r="A448" s="19"/>
      <c r="B448" s="18"/>
      <c r="AC448" s="18"/>
      <c r="AD448" s="18"/>
      <c r="AE448" s="18"/>
      <c r="AF448" s="18"/>
    </row>
    <row r="449">
      <c r="A449" s="19"/>
      <c r="B449" s="18"/>
      <c r="AC449" s="18"/>
      <c r="AD449" s="18"/>
      <c r="AE449" s="18"/>
      <c r="AF449" s="18"/>
    </row>
    <row r="450">
      <c r="A450" s="19"/>
      <c r="B450" s="18"/>
      <c r="AC450" s="18"/>
      <c r="AD450" s="18"/>
      <c r="AE450" s="18"/>
      <c r="AF450" s="18"/>
    </row>
    <row r="451">
      <c r="A451" s="19"/>
      <c r="B451" s="18"/>
      <c r="AC451" s="18"/>
      <c r="AD451" s="18"/>
      <c r="AE451" s="18"/>
      <c r="AF451" s="18"/>
    </row>
    <row r="452">
      <c r="A452" s="19"/>
      <c r="B452" s="18"/>
      <c r="AC452" s="18"/>
      <c r="AD452" s="18"/>
      <c r="AE452" s="18"/>
      <c r="AF452" s="18"/>
    </row>
    <row r="453">
      <c r="A453" s="19"/>
      <c r="B453" s="18"/>
      <c r="AC453" s="18"/>
      <c r="AD453" s="18"/>
      <c r="AE453" s="18"/>
      <c r="AF453" s="18"/>
    </row>
    <row r="454">
      <c r="A454" s="19"/>
      <c r="B454" s="18"/>
      <c r="AC454" s="18"/>
      <c r="AD454" s="18"/>
      <c r="AE454" s="18"/>
      <c r="AF454" s="18"/>
    </row>
    <row r="455">
      <c r="A455" s="19"/>
      <c r="B455" s="18"/>
      <c r="AC455" s="18"/>
      <c r="AD455" s="18"/>
      <c r="AE455" s="18"/>
      <c r="AF455" s="18"/>
    </row>
    <row r="456">
      <c r="A456" s="19"/>
      <c r="B456" s="18"/>
      <c r="AC456" s="18"/>
      <c r="AD456" s="18"/>
      <c r="AE456" s="18"/>
      <c r="AF456" s="18"/>
    </row>
    <row r="457">
      <c r="A457" s="19"/>
      <c r="B457" s="18"/>
      <c r="AC457" s="18"/>
      <c r="AD457" s="18"/>
      <c r="AE457" s="18"/>
      <c r="AF457" s="18"/>
    </row>
    <row r="458">
      <c r="A458" s="19"/>
      <c r="B458" s="18"/>
      <c r="AC458" s="18"/>
      <c r="AD458" s="18"/>
      <c r="AE458" s="18"/>
      <c r="AF458" s="18"/>
    </row>
    <row r="459">
      <c r="A459" s="19"/>
      <c r="B459" s="18"/>
      <c r="AC459" s="18"/>
      <c r="AD459" s="18"/>
      <c r="AE459" s="18"/>
      <c r="AF459" s="18"/>
    </row>
    <row r="460">
      <c r="A460" s="19"/>
      <c r="B460" s="18"/>
      <c r="AC460" s="18"/>
      <c r="AD460" s="18"/>
      <c r="AE460" s="18"/>
      <c r="AF460" s="18"/>
    </row>
    <row r="461">
      <c r="A461" s="19"/>
      <c r="B461" s="18"/>
      <c r="AC461" s="18"/>
      <c r="AD461" s="18"/>
      <c r="AE461" s="18"/>
      <c r="AF461" s="18"/>
    </row>
    <row r="462">
      <c r="A462" s="19"/>
      <c r="B462" s="18"/>
      <c r="AC462" s="18"/>
      <c r="AD462" s="18"/>
      <c r="AE462" s="18"/>
      <c r="AF462" s="18"/>
    </row>
    <row r="463">
      <c r="A463" s="19"/>
      <c r="B463" s="18"/>
      <c r="AC463" s="18"/>
      <c r="AD463" s="18"/>
      <c r="AE463" s="18"/>
      <c r="AF463" s="18"/>
    </row>
    <row r="464">
      <c r="A464" s="19"/>
      <c r="B464" s="18"/>
      <c r="AC464" s="18"/>
      <c r="AD464" s="18"/>
      <c r="AE464" s="18"/>
      <c r="AF464" s="18"/>
    </row>
    <row r="465">
      <c r="A465" s="19"/>
      <c r="B465" s="18"/>
      <c r="AC465" s="18"/>
      <c r="AD465" s="18"/>
      <c r="AE465" s="18"/>
      <c r="AF465" s="18"/>
    </row>
    <row r="466">
      <c r="A466" s="19"/>
      <c r="B466" s="18"/>
      <c r="AC466" s="18"/>
      <c r="AD466" s="18"/>
      <c r="AE466" s="18"/>
      <c r="AF466" s="18"/>
    </row>
    <row r="467">
      <c r="A467" s="19"/>
      <c r="B467" s="18"/>
      <c r="AC467" s="18"/>
      <c r="AD467" s="18"/>
      <c r="AE467" s="18"/>
      <c r="AF467" s="18"/>
    </row>
    <row r="468">
      <c r="A468" s="19"/>
      <c r="B468" s="18"/>
      <c r="AC468" s="18"/>
      <c r="AD468" s="18"/>
      <c r="AE468" s="18"/>
      <c r="AF468" s="18"/>
    </row>
    <row r="469">
      <c r="A469" s="19"/>
      <c r="B469" s="18"/>
      <c r="AC469" s="18"/>
      <c r="AD469" s="18"/>
      <c r="AE469" s="18"/>
      <c r="AF469" s="18"/>
    </row>
    <row r="470">
      <c r="A470" s="19"/>
      <c r="B470" s="18"/>
      <c r="AC470" s="18"/>
      <c r="AD470" s="18"/>
      <c r="AE470" s="18"/>
      <c r="AF470" s="18"/>
    </row>
    <row r="471">
      <c r="A471" s="19"/>
      <c r="B471" s="18"/>
      <c r="AC471" s="18"/>
      <c r="AD471" s="18"/>
      <c r="AE471" s="18"/>
      <c r="AF471" s="18"/>
    </row>
    <row r="472">
      <c r="A472" s="19"/>
      <c r="B472" s="18"/>
      <c r="AC472" s="18"/>
      <c r="AD472" s="18"/>
      <c r="AE472" s="18"/>
      <c r="AF472" s="18"/>
    </row>
    <row r="473">
      <c r="A473" s="19"/>
      <c r="B473" s="18"/>
      <c r="AC473" s="18"/>
      <c r="AD473" s="18"/>
      <c r="AE473" s="18"/>
      <c r="AF473" s="18"/>
    </row>
    <row r="474">
      <c r="A474" s="19"/>
      <c r="B474" s="18"/>
      <c r="AC474" s="18"/>
      <c r="AD474" s="18"/>
      <c r="AE474" s="18"/>
      <c r="AF474" s="18"/>
    </row>
    <row r="475">
      <c r="A475" s="19"/>
      <c r="B475" s="18"/>
      <c r="AC475" s="18"/>
      <c r="AD475" s="18"/>
      <c r="AE475" s="18"/>
      <c r="AF475" s="18"/>
    </row>
    <row r="476">
      <c r="A476" s="19"/>
      <c r="B476" s="18"/>
      <c r="AC476" s="18"/>
      <c r="AD476" s="18"/>
      <c r="AE476" s="18"/>
      <c r="AF476" s="18"/>
    </row>
    <row r="477">
      <c r="A477" s="19"/>
      <c r="B477" s="18"/>
      <c r="AC477" s="18"/>
      <c r="AD477" s="18"/>
      <c r="AE477" s="18"/>
      <c r="AF477" s="18"/>
    </row>
    <row r="478">
      <c r="A478" s="19"/>
      <c r="B478" s="18"/>
      <c r="AC478" s="18"/>
      <c r="AD478" s="18"/>
      <c r="AE478" s="18"/>
      <c r="AF478" s="18"/>
    </row>
    <row r="479">
      <c r="A479" s="19"/>
      <c r="B479" s="18"/>
      <c r="AC479" s="18"/>
      <c r="AD479" s="18"/>
      <c r="AE479" s="18"/>
      <c r="AF479" s="18"/>
    </row>
    <row r="480">
      <c r="A480" s="19"/>
      <c r="B480" s="18"/>
      <c r="AC480" s="18"/>
      <c r="AD480" s="18"/>
      <c r="AE480" s="18"/>
      <c r="AF480" s="18"/>
    </row>
    <row r="481">
      <c r="A481" s="19"/>
      <c r="B481" s="18"/>
      <c r="AC481" s="18"/>
      <c r="AD481" s="18"/>
      <c r="AE481" s="18"/>
      <c r="AF481" s="18"/>
    </row>
    <row r="482">
      <c r="A482" s="19"/>
      <c r="B482" s="18"/>
      <c r="AC482" s="18"/>
      <c r="AD482" s="18"/>
      <c r="AE482" s="18"/>
      <c r="AF482" s="18"/>
    </row>
    <row r="483">
      <c r="A483" s="19"/>
      <c r="B483" s="18"/>
      <c r="AC483" s="18"/>
      <c r="AD483" s="18"/>
      <c r="AE483" s="18"/>
      <c r="AF483" s="18"/>
    </row>
    <row r="484">
      <c r="A484" s="19"/>
      <c r="B484" s="18"/>
      <c r="AC484" s="18"/>
      <c r="AD484" s="18"/>
      <c r="AE484" s="18"/>
      <c r="AF484" s="18"/>
    </row>
    <row r="485">
      <c r="A485" s="19"/>
      <c r="B485" s="18"/>
      <c r="AC485" s="18"/>
      <c r="AD485" s="18"/>
      <c r="AE485" s="18"/>
      <c r="AF485" s="18"/>
    </row>
    <row r="486">
      <c r="A486" s="19"/>
      <c r="B486" s="18"/>
      <c r="AC486" s="18"/>
      <c r="AD486" s="18"/>
      <c r="AE486" s="18"/>
      <c r="AF486" s="18"/>
    </row>
    <row r="487">
      <c r="A487" s="19"/>
      <c r="B487" s="18"/>
      <c r="AC487" s="18"/>
      <c r="AD487" s="18"/>
      <c r="AE487" s="18"/>
      <c r="AF487" s="18"/>
    </row>
    <row r="488">
      <c r="A488" s="19"/>
      <c r="B488" s="18"/>
      <c r="AC488" s="18"/>
      <c r="AD488" s="18"/>
      <c r="AE488" s="18"/>
      <c r="AF488" s="18"/>
    </row>
    <row r="489">
      <c r="A489" s="19"/>
      <c r="B489" s="18"/>
      <c r="AC489" s="18"/>
      <c r="AD489" s="18"/>
      <c r="AE489" s="18"/>
      <c r="AF489" s="18"/>
    </row>
    <row r="490">
      <c r="A490" s="19"/>
      <c r="B490" s="18"/>
      <c r="AC490" s="18"/>
      <c r="AD490" s="18"/>
      <c r="AE490" s="18"/>
      <c r="AF490" s="18"/>
    </row>
    <row r="491">
      <c r="A491" s="19"/>
      <c r="B491" s="18"/>
      <c r="AC491" s="18"/>
      <c r="AD491" s="18"/>
      <c r="AE491" s="18"/>
      <c r="AF491" s="18"/>
    </row>
    <row r="492">
      <c r="A492" s="19"/>
      <c r="B492" s="18"/>
      <c r="AC492" s="18"/>
      <c r="AD492" s="18"/>
      <c r="AE492" s="18"/>
      <c r="AF492" s="18"/>
    </row>
    <row r="493">
      <c r="A493" s="19"/>
      <c r="B493" s="18"/>
      <c r="AC493" s="18"/>
      <c r="AD493" s="18"/>
      <c r="AE493" s="18"/>
      <c r="AF493" s="18"/>
    </row>
    <row r="494">
      <c r="A494" s="19"/>
      <c r="B494" s="18"/>
      <c r="AC494" s="18"/>
      <c r="AD494" s="18"/>
      <c r="AE494" s="18"/>
      <c r="AF494" s="18"/>
    </row>
    <row r="495">
      <c r="A495" s="19"/>
      <c r="B495" s="18"/>
      <c r="AC495" s="18"/>
      <c r="AD495" s="18"/>
      <c r="AE495" s="18"/>
      <c r="AF495" s="18"/>
    </row>
    <row r="496">
      <c r="A496" s="19"/>
      <c r="B496" s="18"/>
      <c r="AC496" s="18"/>
      <c r="AD496" s="18"/>
      <c r="AE496" s="18"/>
      <c r="AF496" s="18"/>
    </row>
    <row r="497">
      <c r="A497" s="19"/>
      <c r="B497" s="18"/>
      <c r="AC497" s="18"/>
      <c r="AD497" s="18"/>
      <c r="AE497" s="18"/>
      <c r="AF497" s="18"/>
    </row>
    <row r="498">
      <c r="A498" s="19"/>
      <c r="B498" s="18"/>
      <c r="AC498" s="18"/>
      <c r="AD498" s="18"/>
      <c r="AE498" s="18"/>
      <c r="AF498" s="18"/>
    </row>
    <row r="499">
      <c r="A499" s="19"/>
      <c r="B499" s="18"/>
      <c r="AC499" s="18"/>
      <c r="AD499" s="18"/>
      <c r="AE499" s="18"/>
      <c r="AF499" s="18"/>
    </row>
    <row r="500">
      <c r="A500" s="19"/>
      <c r="B500" s="18"/>
      <c r="AC500" s="18"/>
      <c r="AD500" s="18"/>
      <c r="AE500" s="18"/>
      <c r="AF500" s="18"/>
    </row>
    <row r="501">
      <c r="A501" s="19"/>
      <c r="B501" s="18"/>
      <c r="AC501" s="18"/>
      <c r="AD501" s="18"/>
      <c r="AE501" s="18"/>
      <c r="AF501" s="18"/>
    </row>
    <row r="502">
      <c r="A502" s="19"/>
      <c r="B502" s="18"/>
      <c r="AC502" s="18"/>
      <c r="AD502" s="18"/>
      <c r="AE502" s="18"/>
      <c r="AF502" s="18"/>
    </row>
    <row r="503">
      <c r="A503" s="19"/>
      <c r="B503" s="18"/>
      <c r="AC503" s="18"/>
      <c r="AD503" s="18"/>
      <c r="AE503" s="18"/>
      <c r="AF503" s="18"/>
    </row>
    <row r="504">
      <c r="A504" s="19"/>
      <c r="B504" s="18"/>
      <c r="AC504" s="18"/>
      <c r="AD504" s="18"/>
      <c r="AE504" s="18"/>
      <c r="AF504" s="18"/>
    </row>
    <row r="505">
      <c r="A505" s="19"/>
      <c r="B505" s="18"/>
      <c r="AC505" s="18"/>
      <c r="AD505" s="18"/>
      <c r="AE505" s="18"/>
      <c r="AF505" s="18"/>
    </row>
    <row r="506">
      <c r="A506" s="19"/>
      <c r="B506" s="18"/>
      <c r="AC506" s="18"/>
      <c r="AD506" s="18"/>
      <c r="AE506" s="18"/>
      <c r="AF506" s="18"/>
    </row>
    <row r="507">
      <c r="A507" s="19"/>
      <c r="B507" s="18"/>
      <c r="AC507" s="18"/>
      <c r="AD507" s="18"/>
      <c r="AE507" s="18"/>
      <c r="AF507" s="18"/>
    </row>
    <row r="508">
      <c r="A508" s="19"/>
      <c r="B508" s="18"/>
      <c r="AC508" s="18"/>
      <c r="AD508" s="18"/>
      <c r="AE508" s="18"/>
      <c r="AF508" s="18"/>
    </row>
    <row r="509">
      <c r="A509" s="19"/>
      <c r="B509" s="18"/>
      <c r="AC509" s="18"/>
      <c r="AD509" s="18"/>
      <c r="AE509" s="18"/>
      <c r="AF509" s="18"/>
    </row>
    <row r="510">
      <c r="A510" s="19"/>
      <c r="B510" s="18"/>
      <c r="AC510" s="18"/>
      <c r="AD510" s="18"/>
      <c r="AE510" s="18"/>
      <c r="AF510" s="18"/>
    </row>
    <row r="511">
      <c r="A511" s="19"/>
      <c r="B511" s="18"/>
      <c r="AC511" s="18"/>
      <c r="AD511" s="18"/>
      <c r="AE511" s="18"/>
      <c r="AF511" s="18"/>
    </row>
    <row r="512">
      <c r="A512" s="19"/>
      <c r="B512" s="18"/>
      <c r="AC512" s="18"/>
      <c r="AD512" s="18"/>
      <c r="AE512" s="18"/>
      <c r="AF512" s="18"/>
    </row>
    <row r="513">
      <c r="A513" s="19"/>
      <c r="B513" s="18"/>
      <c r="AC513" s="18"/>
      <c r="AD513" s="18"/>
      <c r="AE513" s="18"/>
      <c r="AF513" s="18"/>
    </row>
    <row r="514">
      <c r="A514" s="19"/>
      <c r="B514" s="18"/>
      <c r="AC514" s="18"/>
      <c r="AD514" s="18"/>
      <c r="AE514" s="18"/>
      <c r="AF514" s="18"/>
    </row>
    <row r="515">
      <c r="A515" s="19"/>
      <c r="B515" s="18"/>
      <c r="AC515" s="18"/>
      <c r="AD515" s="18"/>
      <c r="AE515" s="18"/>
      <c r="AF515" s="18"/>
    </row>
    <row r="516">
      <c r="A516" s="19"/>
      <c r="B516" s="18"/>
      <c r="AC516" s="18"/>
      <c r="AD516" s="18"/>
      <c r="AE516" s="18"/>
      <c r="AF516" s="18"/>
    </row>
    <row r="517">
      <c r="A517" s="19"/>
      <c r="B517" s="18"/>
      <c r="AC517" s="18"/>
      <c r="AD517" s="18"/>
      <c r="AE517" s="18"/>
      <c r="AF517" s="18"/>
    </row>
    <row r="518">
      <c r="A518" s="19"/>
      <c r="B518" s="18"/>
      <c r="AC518" s="18"/>
      <c r="AD518" s="18"/>
      <c r="AE518" s="18"/>
      <c r="AF518" s="18"/>
    </row>
    <row r="519">
      <c r="A519" s="19"/>
      <c r="B519" s="18"/>
      <c r="AC519" s="18"/>
      <c r="AD519" s="18"/>
      <c r="AE519" s="18"/>
      <c r="AF519" s="18"/>
    </row>
    <row r="520">
      <c r="A520" s="19"/>
      <c r="B520" s="18"/>
      <c r="AC520" s="18"/>
      <c r="AD520" s="18"/>
      <c r="AE520" s="18"/>
      <c r="AF520" s="18"/>
    </row>
    <row r="521">
      <c r="A521" s="19"/>
      <c r="B521" s="18"/>
      <c r="AC521" s="18"/>
      <c r="AD521" s="18"/>
      <c r="AE521" s="18"/>
      <c r="AF521" s="18"/>
    </row>
    <row r="522">
      <c r="A522" s="19"/>
      <c r="B522" s="18"/>
      <c r="AC522" s="18"/>
      <c r="AD522" s="18"/>
      <c r="AE522" s="18"/>
      <c r="AF522" s="18"/>
    </row>
    <row r="523">
      <c r="A523" s="19"/>
      <c r="B523" s="18"/>
      <c r="AC523" s="18"/>
      <c r="AD523" s="18"/>
      <c r="AE523" s="18"/>
      <c r="AF523" s="18"/>
    </row>
    <row r="524">
      <c r="A524" s="19"/>
      <c r="B524" s="18"/>
      <c r="AC524" s="18"/>
      <c r="AD524" s="18"/>
      <c r="AE524" s="18"/>
      <c r="AF524" s="18"/>
    </row>
    <row r="525">
      <c r="A525" s="19"/>
      <c r="B525" s="18"/>
      <c r="AC525" s="18"/>
      <c r="AD525" s="18"/>
      <c r="AE525" s="18"/>
      <c r="AF525" s="18"/>
    </row>
    <row r="526">
      <c r="A526" s="19"/>
      <c r="B526" s="18"/>
      <c r="AC526" s="18"/>
      <c r="AD526" s="18"/>
      <c r="AE526" s="18"/>
      <c r="AF526" s="18"/>
    </row>
    <row r="527">
      <c r="A527" s="19"/>
      <c r="B527" s="18"/>
      <c r="AC527" s="18"/>
      <c r="AD527" s="18"/>
      <c r="AE527" s="18"/>
      <c r="AF527" s="18"/>
    </row>
    <row r="528">
      <c r="A528" s="19"/>
      <c r="B528" s="18"/>
      <c r="AC528" s="18"/>
      <c r="AD528" s="18"/>
      <c r="AE528" s="18"/>
      <c r="AF528" s="18"/>
    </row>
    <row r="529">
      <c r="A529" s="19"/>
      <c r="B529" s="18"/>
      <c r="AC529" s="18"/>
      <c r="AD529" s="18"/>
      <c r="AE529" s="18"/>
      <c r="AF529" s="18"/>
    </row>
    <row r="530">
      <c r="A530" s="19"/>
      <c r="B530" s="18"/>
      <c r="AC530" s="18"/>
      <c r="AD530" s="18"/>
      <c r="AE530" s="18"/>
      <c r="AF530" s="18"/>
    </row>
    <row r="531">
      <c r="A531" s="19"/>
      <c r="B531" s="18"/>
      <c r="AC531" s="18"/>
      <c r="AD531" s="18"/>
      <c r="AE531" s="18"/>
      <c r="AF531" s="18"/>
    </row>
    <row r="532">
      <c r="A532" s="19"/>
      <c r="B532" s="18"/>
      <c r="AC532" s="18"/>
      <c r="AD532" s="18"/>
      <c r="AE532" s="18"/>
      <c r="AF532" s="18"/>
    </row>
    <row r="533">
      <c r="A533" s="19"/>
      <c r="B533" s="18"/>
      <c r="AC533" s="18"/>
      <c r="AD533" s="18"/>
      <c r="AE533" s="18"/>
      <c r="AF533" s="18"/>
    </row>
    <row r="534">
      <c r="A534" s="19"/>
      <c r="B534" s="18"/>
      <c r="AC534" s="18"/>
      <c r="AD534" s="18"/>
      <c r="AE534" s="18"/>
      <c r="AF534" s="18"/>
    </row>
    <row r="535">
      <c r="A535" s="19"/>
      <c r="B535" s="18"/>
      <c r="AC535" s="18"/>
      <c r="AD535" s="18"/>
      <c r="AE535" s="18"/>
      <c r="AF535" s="18"/>
    </row>
    <row r="536">
      <c r="A536" s="19"/>
      <c r="B536" s="18"/>
      <c r="AC536" s="18"/>
      <c r="AD536" s="18"/>
      <c r="AE536" s="18"/>
      <c r="AF536" s="18"/>
    </row>
    <row r="537">
      <c r="A537" s="19"/>
      <c r="B537" s="18"/>
      <c r="AC537" s="18"/>
      <c r="AD537" s="18"/>
      <c r="AE537" s="18"/>
      <c r="AF537" s="18"/>
    </row>
    <row r="538">
      <c r="A538" s="19"/>
      <c r="B538" s="18"/>
      <c r="AC538" s="18"/>
      <c r="AD538" s="18"/>
      <c r="AE538" s="18"/>
      <c r="AF538" s="18"/>
    </row>
    <row r="539">
      <c r="A539" s="19"/>
      <c r="B539" s="18"/>
      <c r="AC539" s="18"/>
      <c r="AD539" s="18"/>
      <c r="AE539" s="18"/>
      <c r="AF539" s="18"/>
    </row>
    <row r="540">
      <c r="A540" s="19"/>
      <c r="B540" s="18"/>
      <c r="AC540" s="18"/>
      <c r="AD540" s="18"/>
      <c r="AE540" s="18"/>
      <c r="AF540" s="18"/>
    </row>
    <row r="541">
      <c r="A541" s="19"/>
      <c r="B541" s="18"/>
      <c r="AC541" s="18"/>
      <c r="AD541" s="18"/>
      <c r="AE541" s="18"/>
      <c r="AF541" s="18"/>
    </row>
    <row r="542">
      <c r="A542" s="19"/>
      <c r="B542" s="18"/>
      <c r="AC542" s="18"/>
      <c r="AD542" s="18"/>
      <c r="AE542" s="18"/>
      <c r="AF542" s="18"/>
    </row>
    <row r="543">
      <c r="A543" s="19"/>
      <c r="B543" s="18"/>
      <c r="AC543" s="18"/>
      <c r="AD543" s="18"/>
      <c r="AE543" s="18"/>
      <c r="AF543" s="18"/>
    </row>
    <row r="544">
      <c r="A544" s="19"/>
      <c r="B544" s="18"/>
      <c r="AC544" s="18"/>
      <c r="AD544" s="18"/>
      <c r="AE544" s="18"/>
      <c r="AF544" s="18"/>
    </row>
    <row r="545">
      <c r="A545" s="19"/>
      <c r="B545" s="18"/>
      <c r="AC545" s="18"/>
      <c r="AD545" s="18"/>
      <c r="AE545" s="18"/>
      <c r="AF545" s="18"/>
    </row>
    <row r="546">
      <c r="A546" s="19"/>
      <c r="B546" s="18"/>
      <c r="AC546" s="18"/>
      <c r="AD546" s="18"/>
      <c r="AE546" s="18"/>
      <c r="AF546" s="18"/>
    </row>
    <row r="547">
      <c r="A547" s="19"/>
      <c r="B547" s="18"/>
      <c r="AC547" s="18"/>
      <c r="AD547" s="18"/>
      <c r="AE547" s="18"/>
      <c r="AF547" s="18"/>
    </row>
    <row r="548">
      <c r="A548" s="19"/>
      <c r="B548" s="18"/>
      <c r="AC548" s="18"/>
      <c r="AD548" s="18"/>
      <c r="AE548" s="18"/>
      <c r="AF548" s="18"/>
    </row>
    <row r="549">
      <c r="A549" s="19"/>
      <c r="B549" s="18"/>
      <c r="AC549" s="18"/>
      <c r="AD549" s="18"/>
      <c r="AE549" s="18"/>
      <c r="AF549" s="18"/>
    </row>
    <row r="550">
      <c r="A550" s="19"/>
      <c r="B550" s="18"/>
      <c r="AC550" s="18"/>
      <c r="AD550" s="18"/>
      <c r="AE550" s="18"/>
      <c r="AF550" s="18"/>
    </row>
    <row r="551">
      <c r="A551" s="19"/>
      <c r="B551" s="18"/>
      <c r="AC551" s="18"/>
      <c r="AD551" s="18"/>
      <c r="AE551" s="18"/>
      <c r="AF551" s="18"/>
    </row>
    <row r="552">
      <c r="A552" s="19"/>
      <c r="B552" s="18"/>
      <c r="AC552" s="18"/>
      <c r="AD552" s="18"/>
      <c r="AE552" s="18"/>
      <c r="AF552" s="18"/>
    </row>
    <row r="553">
      <c r="A553" s="19"/>
      <c r="B553" s="18"/>
      <c r="AC553" s="18"/>
      <c r="AD553" s="18"/>
      <c r="AE553" s="18"/>
      <c r="AF553" s="18"/>
    </row>
    <row r="554">
      <c r="A554" s="19"/>
      <c r="B554" s="18"/>
      <c r="AC554" s="18"/>
      <c r="AD554" s="18"/>
      <c r="AE554" s="18"/>
      <c r="AF554" s="18"/>
    </row>
    <row r="555">
      <c r="A555" s="19"/>
      <c r="B555" s="18"/>
      <c r="AC555" s="18"/>
      <c r="AD555" s="18"/>
      <c r="AE555" s="18"/>
      <c r="AF555" s="18"/>
    </row>
    <row r="556">
      <c r="A556" s="19"/>
      <c r="B556" s="18"/>
      <c r="AC556" s="18"/>
      <c r="AD556" s="18"/>
      <c r="AE556" s="18"/>
      <c r="AF556" s="18"/>
    </row>
    <row r="557">
      <c r="A557" s="19"/>
      <c r="B557" s="18"/>
      <c r="AC557" s="18"/>
      <c r="AD557" s="18"/>
      <c r="AE557" s="18"/>
      <c r="AF557" s="18"/>
    </row>
    <row r="558">
      <c r="A558" s="19"/>
      <c r="B558" s="18"/>
      <c r="AC558" s="18"/>
      <c r="AD558" s="18"/>
      <c r="AE558" s="18"/>
      <c r="AF558" s="18"/>
    </row>
    <row r="559">
      <c r="A559" s="19"/>
      <c r="B559" s="18"/>
      <c r="AC559" s="18"/>
      <c r="AD559" s="18"/>
      <c r="AE559" s="18"/>
      <c r="AF559" s="18"/>
    </row>
    <row r="560">
      <c r="A560" s="19"/>
      <c r="B560" s="18"/>
      <c r="AC560" s="18"/>
      <c r="AD560" s="18"/>
      <c r="AE560" s="18"/>
      <c r="AF560" s="18"/>
    </row>
    <row r="561">
      <c r="A561" s="19"/>
      <c r="B561" s="18"/>
      <c r="AC561" s="18"/>
      <c r="AD561" s="18"/>
      <c r="AE561" s="18"/>
      <c r="AF561" s="18"/>
    </row>
    <row r="562">
      <c r="A562" s="19"/>
      <c r="B562" s="18"/>
      <c r="AC562" s="18"/>
      <c r="AD562" s="18"/>
      <c r="AE562" s="18"/>
      <c r="AF562" s="18"/>
    </row>
    <row r="563">
      <c r="A563" s="19"/>
      <c r="B563" s="18"/>
      <c r="AC563" s="18"/>
      <c r="AD563" s="18"/>
      <c r="AE563" s="18"/>
      <c r="AF563" s="18"/>
    </row>
    <row r="564">
      <c r="A564" s="19"/>
      <c r="B564" s="18"/>
      <c r="AC564" s="18"/>
      <c r="AD564" s="18"/>
      <c r="AE564" s="18"/>
      <c r="AF564" s="18"/>
    </row>
    <row r="565">
      <c r="A565" s="19"/>
      <c r="B565" s="18"/>
      <c r="AC565" s="18"/>
      <c r="AD565" s="18"/>
      <c r="AE565" s="18"/>
      <c r="AF565" s="18"/>
    </row>
    <row r="566">
      <c r="A566" s="19"/>
      <c r="B566" s="18"/>
      <c r="AC566" s="18"/>
      <c r="AD566" s="18"/>
      <c r="AE566" s="18"/>
      <c r="AF566" s="18"/>
    </row>
    <row r="567">
      <c r="A567" s="19"/>
      <c r="B567" s="18"/>
      <c r="AC567" s="18"/>
      <c r="AD567" s="18"/>
      <c r="AE567" s="18"/>
      <c r="AF567" s="18"/>
    </row>
    <row r="568">
      <c r="A568" s="19"/>
      <c r="B568" s="18"/>
      <c r="AC568" s="18"/>
      <c r="AD568" s="18"/>
      <c r="AE568" s="18"/>
      <c r="AF568" s="18"/>
    </row>
    <row r="569">
      <c r="A569" s="19"/>
      <c r="B569" s="18"/>
      <c r="AC569" s="18"/>
      <c r="AD569" s="18"/>
      <c r="AE569" s="18"/>
      <c r="AF569" s="18"/>
    </row>
    <row r="570">
      <c r="A570" s="19"/>
      <c r="B570" s="18"/>
      <c r="AC570" s="18"/>
      <c r="AD570" s="18"/>
      <c r="AE570" s="18"/>
      <c r="AF570" s="18"/>
    </row>
    <row r="571">
      <c r="A571" s="19"/>
      <c r="B571" s="18"/>
      <c r="AC571" s="18"/>
      <c r="AD571" s="18"/>
      <c r="AE571" s="18"/>
      <c r="AF571" s="18"/>
    </row>
    <row r="572">
      <c r="A572" s="19"/>
      <c r="B572" s="18"/>
      <c r="AC572" s="18"/>
      <c r="AD572" s="18"/>
      <c r="AE572" s="18"/>
      <c r="AF572" s="18"/>
    </row>
    <row r="573">
      <c r="A573" s="19"/>
      <c r="B573" s="18"/>
      <c r="AC573" s="18"/>
      <c r="AD573" s="18"/>
      <c r="AE573" s="18"/>
      <c r="AF573" s="18"/>
    </row>
    <row r="574">
      <c r="A574" s="19"/>
      <c r="B574" s="18"/>
      <c r="AC574" s="18"/>
      <c r="AD574" s="18"/>
      <c r="AE574" s="18"/>
      <c r="AF574" s="18"/>
    </row>
    <row r="575">
      <c r="A575" s="19"/>
      <c r="B575" s="18"/>
      <c r="AC575" s="18"/>
      <c r="AD575" s="18"/>
      <c r="AE575" s="18"/>
      <c r="AF575" s="18"/>
    </row>
    <row r="576">
      <c r="A576" s="19"/>
      <c r="B576" s="18"/>
      <c r="AC576" s="18"/>
      <c r="AD576" s="18"/>
      <c r="AE576" s="18"/>
      <c r="AF576" s="18"/>
    </row>
    <row r="577">
      <c r="A577" s="19"/>
      <c r="B577" s="18"/>
      <c r="AC577" s="18"/>
      <c r="AD577" s="18"/>
      <c r="AE577" s="18"/>
      <c r="AF577" s="18"/>
    </row>
    <row r="578">
      <c r="A578" s="19"/>
      <c r="B578" s="18"/>
      <c r="AC578" s="18"/>
      <c r="AD578" s="18"/>
      <c r="AE578" s="18"/>
      <c r="AF578" s="18"/>
    </row>
    <row r="579">
      <c r="A579" s="19"/>
      <c r="B579" s="18"/>
      <c r="AC579" s="18"/>
      <c r="AD579" s="18"/>
      <c r="AE579" s="18"/>
      <c r="AF579" s="18"/>
    </row>
    <row r="580">
      <c r="A580" s="19"/>
      <c r="B580" s="18"/>
      <c r="AC580" s="18"/>
      <c r="AD580" s="18"/>
      <c r="AE580" s="18"/>
      <c r="AF580" s="18"/>
    </row>
    <row r="581">
      <c r="A581" s="19"/>
      <c r="B581" s="18"/>
      <c r="AC581" s="18"/>
      <c r="AD581" s="18"/>
      <c r="AE581" s="18"/>
      <c r="AF581" s="18"/>
    </row>
    <row r="582">
      <c r="A582" s="19"/>
      <c r="B582" s="18"/>
      <c r="AC582" s="18"/>
      <c r="AD582" s="18"/>
      <c r="AE582" s="18"/>
      <c r="AF582" s="18"/>
    </row>
    <row r="583">
      <c r="A583" s="19"/>
      <c r="B583" s="18"/>
      <c r="AC583" s="18"/>
      <c r="AD583" s="18"/>
      <c r="AE583" s="18"/>
      <c r="AF583" s="18"/>
    </row>
    <row r="584">
      <c r="A584" s="19"/>
      <c r="B584" s="18"/>
      <c r="AC584" s="18"/>
      <c r="AD584" s="18"/>
      <c r="AE584" s="18"/>
      <c r="AF584" s="18"/>
    </row>
    <row r="585">
      <c r="A585" s="19"/>
      <c r="B585" s="18"/>
      <c r="AC585" s="18"/>
      <c r="AD585" s="18"/>
      <c r="AE585" s="18"/>
      <c r="AF585" s="18"/>
    </row>
    <row r="586">
      <c r="A586" s="19"/>
      <c r="B586" s="18"/>
      <c r="AC586" s="18"/>
      <c r="AD586" s="18"/>
      <c r="AE586" s="18"/>
      <c r="AF586" s="18"/>
    </row>
    <row r="587">
      <c r="A587" s="19"/>
      <c r="B587" s="18"/>
      <c r="AC587" s="18"/>
      <c r="AD587" s="18"/>
      <c r="AE587" s="18"/>
      <c r="AF587" s="18"/>
    </row>
    <row r="588">
      <c r="A588" s="19"/>
      <c r="B588" s="18"/>
      <c r="AC588" s="18"/>
      <c r="AD588" s="18"/>
      <c r="AE588" s="18"/>
      <c r="AF588" s="18"/>
    </row>
    <row r="589">
      <c r="A589" s="19"/>
      <c r="B589" s="18"/>
      <c r="AC589" s="18"/>
      <c r="AD589" s="18"/>
      <c r="AE589" s="18"/>
      <c r="AF589" s="18"/>
    </row>
    <row r="590">
      <c r="A590" s="19"/>
      <c r="B590" s="18"/>
      <c r="AC590" s="18"/>
      <c r="AD590" s="18"/>
      <c r="AE590" s="18"/>
      <c r="AF590" s="18"/>
    </row>
    <row r="591">
      <c r="A591" s="19"/>
      <c r="B591" s="18"/>
      <c r="AC591" s="18"/>
      <c r="AD591" s="18"/>
      <c r="AE591" s="18"/>
      <c r="AF591" s="18"/>
    </row>
    <row r="592">
      <c r="A592" s="19"/>
      <c r="B592" s="18"/>
      <c r="AC592" s="18"/>
      <c r="AD592" s="18"/>
      <c r="AE592" s="18"/>
      <c r="AF592" s="18"/>
    </row>
    <row r="593">
      <c r="A593" s="19"/>
      <c r="B593" s="18"/>
      <c r="AC593" s="18"/>
      <c r="AD593" s="18"/>
      <c r="AE593" s="18"/>
      <c r="AF593" s="18"/>
    </row>
    <row r="594">
      <c r="A594" s="19"/>
      <c r="B594" s="18"/>
      <c r="AC594" s="18"/>
      <c r="AD594" s="18"/>
      <c r="AE594" s="18"/>
      <c r="AF594" s="18"/>
    </row>
    <row r="595">
      <c r="A595" s="19"/>
      <c r="B595" s="18"/>
      <c r="AC595" s="18"/>
      <c r="AD595" s="18"/>
      <c r="AE595" s="18"/>
      <c r="AF595" s="18"/>
    </row>
    <row r="596">
      <c r="A596" s="19"/>
      <c r="B596" s="18"/>
      <c r="AC596" s="18"/>
      <c r="AD596" s="18"/>
      <c r="AE596" s="18"/>
      <c r="AF596" s="18"/>
    </row>
    <row r="597">
      <c r="A597" s="19"/>
      <c r="B597" s="18"/>
      <c r="AC597" s="18"/>
      <c r="AD597" s="18"/>
      <c r="AE597" s="18"/>
      <c r="AF597" s="18"/>
    </row>
    <row r="598">
      <c r="A598" s="19"/>
      <c r="B598" s="18"/>
      <c r="AC598" s="18"/>
      <c r="AD598" s="18"/>
      <c r="AE598" s="18"/>
      <c r="AF598" s="18"/>
    </row>
    <row r="599">
      <c r="A599" s="19"/>
      <c r="B599" s="18"/>
      <c r="AC599" s="18"/>
      <c r="AD599" s="18"/>
      <c r="AE599" s="18"/>
      <c r="AF599" s="18"/>
    </row>
    <row r="600">
      <c r="A600" s="19"/>
      <c r="B600" s="18"/>
      <c r="AC600" s="18"/>
      <c r="AD600" s="18"/>
      <c r="AE600" s="18"/>
      <c r="AF600" s="18"/>
    </row>
    <row r="601">
      <c r="A601" s="19"/>
      <c r="B601" s="18"/>
      <c r="AC601" s="18"/>
      <c r="AD601" s="18"/>
      <c r="AE601" s="18"/>
      <c r="AF601" s="18"/>
    </row>
    <row r="602">
      <c r="A602" s="19"/>
      <c r="B602" s="18"/>
      <c r="AC602" s="18"/>
      <c r="AD602" s="18"/>
      <c r="AE602" s="18"/>
      <c r="AF602" s="18"/>
    </row>
    <row r="603">
      <c r="A603" s="19"/>
      <c r="B603" s="18"/>
      <c r="AC603" s="18"/>
      <c r="AD603" s="18"/>
      <c r="AE603" s="18"/>
      <c r="AF603" s="18"/>
    </row>
    <row r="604">
      <c r="A604" s="19"/>
      <c r="B604" s="18"/>
      <c r="AC604" s="18"/>
      <c r="AD604" s="18"/>
      <c r="AE604" s="18"/>
      <c r="AF604" s="18"/>
    </row>
    <row r="605">
      <c r="A605" s="19"/>
      <c r="B605" s="18"/>
      <c r="AC605" s="18"/>
      <c r="AD605" s="18"/>
      <c r="AE605" s="18"/>
      <c r="AF605" s="18"/>
    </row>
    <row r="606">
      <c r="A606" s="19"/>
      <c r="B606" s="18"/>
      <c r="AC606" s="18"/>
      <c r="AD606" s="18"/>
      <c r="AE606" s="18"/>
      <c r="AF606" s="18"/>
    </row>
    <row r="607">
      <c r="A607" s="19"/>
      <c r="B607" s="18"/>
      <c r="AC607" s="18"/>
      <c r="AD607" s="18"/>
      <c r="AE607" s="18"/>
      <c r="AF607" s="18"/>
    </row>
    <row r="608">
      <c r="A608" s="19"/>
      <c r="B608" s="18"/>
      <c r="AC608" s="18"/>
      <c r="AD608" s="18"/>
      <c r="AE608" s="18"/>
      <c r="AF608" s="18"/>
    </row>
    <row r="609">
      <c r="A609" s="19"/>
      <c r="B609" s="18"/>
      <c r="AC609" s="18"/>
      <c r="AD609" s="18"/>
      <c r="AE609" s="18"/>
      <c r="AF609" s="18"/>
    </row>
    <row r="610">
      <c r="A610" s="19"/>
      <c r="B610" s="18"/>
      <c r="AC610" s="18"/>
      <c r="AD610" s="18"/>
      <c r="AE610" s="18"/>
      <c r="AF610" s="18"/>
    </row>
    <row r="611">
      <c r="A611" s="19"/>
      <c r="B611" s="18"/>
      <c r="AC611" s="18"/>
      <c r="AD611" s="18"/>
      <c r="AE611" s="18"/>
      <c r="AF611" s="18"/>
    </row>
    <row r="612">
      <c r="A612" s="19"/>
      <c r="B612" s="18"/>
      <c r="AC612" s="18"/>
      <c r="AD612" s="18"/>
      <c r="AE612" s="18"/>
      <c r="AF612" s="18"/>
    </row>
    <row r="613">
      <c r="A613" s="19"/>
      <c r="B613" s="18"/>
      <c r="AC613" s="18"/>
      <c r="AD613" s="18"/>
      <c r="AE613" s="18"/>
      <c r="AF613" s="18"/>
    </row>
    <row r="614">
      <c r="A614" s="19"/>
      <c r="B614" s="18"/>
      <c r="AC614" s="18"/>
      <c r="AD614" s="18"/>
      <c r="AE614" s="18"/>
      <c r="AF614" s="18"/>
    </row>
    <row r="615">
      <c r="A615" s="19"/>
      <c r="B615" s="18"/>
      <c r="AC615" s="18"/>
      <c r="AD615" s="18"/>
      <c r="AE615" s="18"/>
      <c r="AF615" s="18"/>
    </row>
    <row r="616">
      <c r="A616" s="19"/>
      <c r="B616" s="18"/>
      <c r="AC616" s="18"/>
      <c r="AD616" s="18"/>
      <c r="AE616" s="18"/>
      <c r="AF616" s="18"/>
    </row>
    <row r="617">
      <c r="A617" s="19"/>
      <c r="B617" s="18"/>
      <c r="AC617" s="18"/>
      <c r="AD617" s="18"/>
      <c r="AE617" s="18"/>
      <c r="AF617" s="18"/>
    </row>
    <row r="618">
      <c r="A618" s="19"/>
      <c r="B618" s="18"/>
      <c r="AC618" s="18"/>
      <c r="AD618" s="18"/>
      <c r="AE618" s="18"/>
      <c r="AF618" s="18"/>
    </row>
    <row r="619">
      <c r="A619" s="19"/>
      <c r="B619" s="18"/>
      <c r="AC619" s="18"/>
      <c r="AD619" s="18"/>
      <c r="AE619" s="18"/>
      <c r="AF619" s="18"/>
    </row>
    <row r="620">
      <c r="A620" s="19"/>
      <c r="B620" s="18"/>
      <c r="AC620" s="18"/>
      <c r="AD620" s="18"/>
      <c r="AE620" s="18"/>
      <c r="AF620" s="18"/>
    </row>
    <row r="621">
      <c r="A621" s="19"/>
      <c r="B621" s="18"/>
      <c r="AC621" s="18"/>
      <c r="AD621" s="18"/>
      <c r="AE621" s="18"/>
      <c r="AF621" s="18"/>
    </row>
    <row r="622">
      <c r="A622" s="19"/>
      <c r="B622" s="18"/>
      <c r="AC622" s="18"/>
      <c r="AD622" s="18"/>
      <c r="AE622" s="18"/>
      <c r="AF622" s="18"/>
    </row>
    <row r="623">
      <c r="A623" s="19"/>
      <c r="B623" s="18"/>
      <c r="AC623" s="18"/>
      <c r="AD623" s="18"/>
      <c r="AE623" s="18"/>
      <c r="AF623" s="18"/>
    </row>
    <row r="624">
      <c r="A624" s="19"/>
      <c r="B624" s="18"/>
      <c r="AC624" s="18"/>
      <c r="AD624" s="18"/>
      <c r="AE624" s="18"/>
      <c r="AF624" s="18"/>
    </row>
    <row r="625">
      <c r="A625" s="19"/>
      <c r="B625" s="18"/>
      <c r="AC625" s="18"/>
      <c r="AD625" s="18"/>
      <c r="AE625" s="18"/>
      <c r="AF625" s="18"/>
    </row>
    <row r="626">
      <c r="A626" s="19"/>
      <c r="B626" s="18"/>
      <c r="AC626" s="18"/>
      <c r="AD626" s="18"/>
      <c r="AE626" s="18"/>
      <c r="AF626" s="18"/>
    </row>
    <row r="627">
      <c r="A627" s="19"/>
      <c r="B627" s="18"/>
      <c r="AC627" s="18"/>
      <c r="AD627" s="18"/>
      <c r="AE627" s="18"/>
      <c r="AF627" s="18"/>
    </row>
    <row r="628">
      <c r="A628" s="19"/>
      <c r="B628" s="18"/>
      <c r="AC628" s="18"/>
      <c r="AD628" s="18"/>
      <c r="AE628" s="18"/>
      <c r="AF628" s="18"/>
    </row>
    <row r="629">
      <c r="A629" s="19"/>
      <c r="B629" s="18"/>
      <c r="AC629" s="18"/>
      <c r="AD629" s="18"/>
      <c r="AE629" s="18"/>
      <c r="AF629" s="18"/>
    </row>
    <row r="630">
      <c r="A630" s="19"/>
      <c r="B630" s="18"/>
      <c r="AC630" s="18"/>
      <c r="AD630" s="18"/>
      <c r="AE630" s="18"/>
      <c r="AF630" s="18"/>
    </row>
    <row r="631">
      <c r="A631" s="19"/>
      <c r="B631" s="18"/>
      <c r="AC631" s="18"/>
      <c r="AD631" s="18"/>
      <c r="AE631" s="18"/>
      <c r="AF631" s="18"/>
    </row>
    <row r="632">
      <c r="A632" s="19"/>
      <c r="B632" s="18"/>
      <c r="AC632" s="18"/>
      <c r="AD632" s="18"/>
      <c r="AE632" s="18"/>
      <c r="AF632" s="18"/>
    </row>
    <row r="633">
      <c r="A633" s="19"/>
      <c r="B633" s="18"/>
      <c r="AC633" s="18"/>
      <c r="AD633" s="18"/>
      <c r="AE633" s="18"/>
      <c r="AF633" s="18"/>
    </row>
    <row r="634">
      <c r="A634" s="19"/>
      <c r="B634" s="18"/>
      <c r="AC634" s="18"/>
      <c r="AD634" s="18"/>
      <c r="AE634" s="18"/>
      <c r="AF634" s="18"/>
    </row>
    <row r="635">
      <c r="A635" s="19"/>
      <c r="B635" s="18"/>
      <c r="AC635" s="18"/>
      <c r="AD635" s="18"/>
      <c r="AE635" s="18"/>
      <c r="AF635" s="18"/>
    </row>
    <row r="636">
      <c r="A636" s="19"/>
      <c r="B636" s="18"/>
      <c r="AC636" s="18"/>
      <c r="AD636" s="18"/>
      <c r="AE636" s="18"/>
      <c r="AF636" s="18"/>
    </row>
    <row r="637">
      <c r="A637" s="19"/>
      <c r="B637" s="18"/>
      <c r="AC637" s="18"/>
      <c r="AD637" s="18"/>
      <c r="AE637" s="18"/>
      <c r="AF637" s="18"/>
    </row>
    <row r="638">
      <c r="A638" s="19"/>
      <c r="B638" s="18"/>
      <c r="AC638" s="18"/>
      <c r="AD638" s="18"/>
      <c r="AE638" s="18"/>
      <c r="AF638" s="18"/>
    </row>
    <row r="639">
      <c r="A639" s="19"/>
      <c r="B639" s="18"/>
      <c r="AC639" s="18"/>
      <c r="AD639" s="18"/>
      <c r="AE639" s="18"/>
      <c r="AF639" s="18"/>
    </row>
    <row r="640">
      <c r="A640" s="19"/>
      <c r="B640" s="18"/>
      <c r="AC640" s="18"/>
      <c r="AD640" s="18"/>
      <c r="AE640" s="18"/>
      <c r="AF640" s="18"/>
    </row>
    <row r="641">
      <c r="A641" s="19"/>
      <c r="B641" s="18"/>
      <c r="AC641" s="18"/>
      <c r="AD641" s="18"/>
      <c r="AE641" s="18"/>
      <c r="AF641" s="18"/>
    </row>
    <row r="642">
      <c r="A642" s="19"/>
      <c r="B642" s="18"/>
      <c r="AC642" s="18"/>
      <c r="AD642" s="18"/>
      <c r="AE642" s="18"/>
      <c r="AF642" s="18"/>
    </row>
    <row r="643">
      <c r="A643" s="19"/>
      <c r="B643" s="18"/>
      <c r="AC643" s="18"/>
      <c r="AD643" s="18"/>
      <c r="AE643" s="18"/>
      <c r="AF643" s="18"/>
    </row>
    <row r="644">
      <c r="A644" s="19"/>
      <c r="B644" s="18"/>
      <c r="AC644" s="18"/>
      <c r="AD644" s="18"/>
      <c r="AE644" s="18"/>
      <c r="AF644" s="18"/>
    </row>
    <row r="645">
      <c r="A645" s="19"/>
      <c r="B645" s="18"/>
      <c r="AC645" s="18"/>
      <c r="AD645" s="18"/>
      <c r="AE645" s="18"/>
      <c r="AF645" s="18"/>
    </row>
    <row r="646">
      <c r="A646" s="19"/>
      <c r="B646" s="18"/>
      <c r="AC646" s="18"/>
      <c r="AD646" s="18"/>
      <c r="AE646" s="18"/>
      <c r="AF646" s="18"/>
    </row>
    <row r="647">
      <c r="A647" s="19"/>
      <c r="B647" s="18"/>
      <c r="AC647" s="18"/>
      <c r="AD647" s="18"/>
      <c r="AE647" s="18"/>
      <c r="AF647" s="18"/>
    </row>
    <row r="648">
      <c r="A648" s="19"/>
      <c r="B648" s="18"/>
      <c r="AC648" s="18"/>
      <c r="AD648" s="18"/>
      <c r="AE648" s="18"/>
      <c r="AF648" s="18"/>
    </row>
    <row r="649">
      <c r="A649" s="19"/>
      <c r="B649" s="18"/>
      <c r="AC649" s="18"/>
      <c r="AD649" s="18"/>
      <c r="AE649" s="18"/>
      <c r="AF649" s="18"/>
    </row>
    <row r="650">
      <c r="A650" s="19"/>
      <c r="B650" s="18"/>
      <c r="AC650" s="18"/>
      <c r="AD650" s="18"/>
      <c r="AE650" s="18"/>
      <c r="AF650" s="18"/>
    </row>
    <row r="651">
      <c r="A651" s="19"/>
      <c r="B651" s="18"/>
      <c r="AC651" s="18"/>
      <c r="AD651" s="18"/>
      <c r="AE651" s="18"/>
      <c r="AF651" s="18"/>
    </row>
    <row r="652">
      <c r="A652" s="19"/>
      <c r="B652" s="18"/>
      <c r="AC652" s="18"/>
      <c r="AD652" s="18"/>
      <c r="AE652" s="18"/>
      <c r="AF652" s="18"/>
    </row>
    <row r="653">
      <c r="A653" s="19"/>
      <c r="B653" s="18"/>
      <c r="AC653" s="18"/>
      <c r="AD653" s="18"/>
      <c r="AE653" s="18"/>
      <c r="AF653" s="18"/>
    </row>
    <row r="654">
      <c r="A654" s="19"/>
      <c r="B654" s="18"/>
      <c r="AC654" s="18"/>
      <c r="AD654" s="18"/>
      <c r="AE654" s="18"/>
      <c r="AF654" s="18"/>
    </row>
    <row r="655">
      <c r="A655" s="19"/>
      <c r="B655" s="18"/>
      <c r="AC655" s="18"/>
      <c r="AD655" s="18"/>
      <c r="AE655" s="18"/>
      <c r="AF655" s="18"/>
    </row>
    <row r="656">
      <c r="A656" s="19"/>
      <c r="B656" s="18"/>
      <c r="AC656" s="18"/>
      <c r="AD656" s="18"/>
      <c r="AE656" s="18"/>
      <c r="AF656" s="18"/>
    </row>
    <row r="657">
      <c r="A657" s="19"/>
      <c r="B657" s="18"/>
      <c r="AC657" s="18"/>
      <c r="AD657" s="18"/>
      <c r="AE657" s="18"/>
      <c r="AF657" s="18"/>
    </row>
    <row r="658">
      <c r="A658" s="19"/>
      <c r="B658" s="18"/>
      <c r="AC658" s="18"/>
      <c r="AD658" s="18"/>
      <c r="AE658" s="18"/>
      <c r="AF658" s="18"/>
    </row>
    <row r="659">
      <c r="A659" s="19"/>
      <c r="B659" s="18"/>
      <c r="AC659" s="18"/>
      <c r="AD659" s="18"/>
      <c r="AE659" s="18"/>
      <c r="AF659" s="18"/>
    </row>
    <row r="660">
      <c r="A660" s="19"/>
      <c r="B660" s="18"/>
      <c r="AC660" s="18"/>
      <c r="AD660" s="18"/>
      <c r="AE660" s="18"/>
      <c r="AF660" s="18"/>
    </row>
    <row r="661">
      <c r="A661" s="19"/>
      <c r="B661" s="18"/>
      <c r="AC661" s="18"/>
      <c r="AD661" s="18"/>
      <c r="AE661" s="18"/>
      <c r="AF661" s="18"/>
    </row>
    <row r="662">
      <c r="A662" s="19"/>
      <c r="B662" s="18"/>
      <c r="AC662" s="18"/>
      <c r="AD662" s="18"/>
      <c r="AE662" s="18"/>
      <c r="AF662" s="18"/>
    </row>
    <row r="663">
      <c r="A663" s="19"/>
      <c r="B663" s="18"/>
      <c r="AC663" s="18"/>
      <c r="AD663" s="18"/>
      <c r="AE663" s="18"/>
      <c r="AF663" s="18"/>
    </row>
    <row r="664">
      <c r="A664" s="19"/>
      <c r="B664" s="18"/>
      <c r="AC664" s="18"/>
      <c r="AD664" s="18"/>
      <c r="AE664" s="18"/>
      <c r="AF664" s="18"/>
    </row>
    <row r="665">
      <c r="A665" s="19"/>
      <c r="B665" s="18"/>
      <c r="AC665" s="18"/>
      <c r="AD665" s="18"/>
      <c r="AE665" s="18"/>
      <c r="AF665" s="18"/>
    </row>
    <row r="666">
      <c r="A666" s="19"/>
      <c r="B666" s="18"/>
      <c r="AC666" s="18"/>
      <c r="AD666" s="18"/>
      <c r="AE666" s="18"/>
      <c r="AF666" s="18"/>
    </row>
    <row r="667">
      <c r="A667" s="19"/>
      <c r="B667" s="18"/>
      <c r="AC667" s="18"/>
      <c r="AD667" s="18"/>
      <c r="AE667" s="18"/>
      <c r="AF667" s="18"/>
    </row>
    <row r="668">
      <c r="A668" s="19"/>
      <c r="B668" s="18"/>
      <c r="AC668" s="18"/>
      <c r="AD668" s="18"/>
      <c r="AE668" s="18"/>
      <c r="AF668" s="18"/>
    </row>
    <row r="669">
      <c r="A669" s="19"/>
      <c r="B669" s="18"/>
      <c r="AC669" s="18"/>
      <c r="AD669" s="18"/>
      <c r="AE669" s="18"/>
      <c r="AF669" s="18"/>
    </row>
    <row r="670">
      <c r="A670" s="19"/>
      <c r="B670" s="18"/>
      <c r="AC670" s="18"/>
      <c r="AD670" s="18"/>
      <c r="AE670" s="18"/>
      <c r="AF670" s="18"/>
    </row>
    <row r="671">
      <c r="A671" s="19"/>
      <c r="B671" s="18"/>
      <c r="AC671" s="18"/>
      <c r="AD671" s="18"/>
      <c r="AE671" s="18"/>
      <c r="AF671" s="18"/>
    </row>
    <row r="672">
      <c r="A672" s="19"/>
      <c r="B672" s="18"/>
      <c r="AC672" s="18"/>
      <c r="AD672" s="18"/>
      <c r="AE672" s="18"/>
      <c r="AF672" s="18"/>
    </row>
    <row r="673">
      <c r="A673" s="19"/>
      <c r="B673" s="18"/>
      <c r="AC673" s="18"/>
      <c r="AD673" s="18"/>
      <c r="AE673" s="18"/>
      <c r="AF673" s="18"/>
    </row>
    <row r="674">
      <c r="A674" s="19"/>
      <c r="B674" s="18"/>
      <c r="AC674" s="18"/>
      <c r="AD674" s="18"/>
      <c r="AE674" s="18"/>
      <c r="AF674" s="18"/>
    </row>
    <row r="675">
      <c r="A675" s="19"/>
      <c r="B675" s="18"/>
      <c r="AC675" s="18"/>
      <c r="AD675" s="18"/>
      <c r="AE675" s="18"/>
      <c r="AF675" s="18"/>
    </row>
    <row r="676">
      <c r="A676" s="19"/>
      <c r="B676" s="18"/>
      <c r="AC676" s="18"/>
      <c r="AD676" s="18"/>
      <c r="AE676" s="18"/>
      <c r="AF676" s="18"/>
    </row>
    <row r="677">
      <c r="A677" s="19"/>
      <c r="B677" s="18"/>
      <c r="AC677" s="18"/>
      <c r="AD677" s="18"/>
      <c r="AE677" s="18"/>
      <c r="AF677" s="18"/>
    </row>
    <row r="678">
      <c r="A678" s="19"/>
      <c r="B678" s="18"/>
      <c r="AC678" s="18"/>
      <c r="AD678" s="18"/>
      <c r="AE678" s="18"/>
      <c r="AF678" s="18"/>
    </row>
    <row r="679">
      <c r="A679" s="19"/>
      <c r="B679" s="18"/>
      <c r="AC679" s="18"/>
      <c r="AD679" s="18"/>
      <c r="AE679" s="18"/>
      <c r="AF679" s="18"/>
    </row>
    <row r="680">
      <c r="A680" s="19"/>
      <c r="B680" s="18"/>
      <c r="AC680" s="18"/>
      <c r="AD680" s="18"/>
      <c r="AE680" s="18"/>
      <c r="AF680" s="18"/>
    </row>
    <row r="681">
      <c r="A681" s="19"/>
      <c r="B681" s="18"/>
      <c r="AC681" s="18"/>
      <c r="AD681" s="18"/>
      <c r="AE681" s="18"/>
      <c r="AF681" s="18"/>
    </row>
    <row r="682">
      <c r="A682" s="19"/>
      <c r="B682" s="18"/>
      <c r="AC682" s="18"/>
      <c r="AD682" s="18"/>
      <c r="AE682" s="18"/>
      <c r="AF682" s="18"/>
    </row>
    <row r="683">
      <c r="A683" s="19"/>
      <c r="B683" s="18"/>
      <c r="AC683" s="18"/>
      <c r="AD683" s="18"/>
      <c r="AE683" s="18"/>
      <c r="AF683" s="18"/>
    </row>
    <row r="684">
      <c r="A684" s="19"/>
      <c r="B684" s="18"/>
      <c r="AC684" s="18"/>
      <c r="AD684" s="18"/>
      <c r="AE684" s="18"/>
      <c r="AF684" s="18"/>
    </row>
    <row r="685">
      <c r="A685" s="19"/>
      <c r="B685" s="18"/>
      <c r="AC685" s="18"/>
      <c r="AD685" s="18"/>
      <c r="AE685" s="18"/>
      <c r="AF685" s="18"/>
    </row>
    <row r="686">
      <c r="A686" s="19"/>
      <c r="B686" s="18"/>
      <c r="AC686" s="18"/>
      <c r="AD686" s="18"/>
      <c r="AE686" s="18"/>
      <c r="AF686" s="18"/>
    </row>
    <row r="687">
      <c r="A687" s="19"/>
      <c r="B687" s="18"/>
      <c r="AC687" s="18"/>
      <c r="AD687" s="18"/>
      <c r="AE687" s="18"/>
      <c r="AF687" s="18"/>
    </row>
    <row r="688">
      <c r="A688" s="19"/>
      <c r="B688" s="18"/>
      <c r="AC688" s="18"/>
      <c r="AD688" s="18"/>
      <c r="AE688" s="18"/>
      <c r="AF688" s="18"/>
    </row>
    <row r="689">
      <c r="A689" s="19"/>
      <c r="B689" s="18"/>
      <c r="AC689" s="18"/>
      <c r="AD689" s="18"/>
      <c r="AE689" s="18"/>
      <c r="AF689" s="18"/>
    </row>
    <row r="690">
      <c r="A690" s="19"/>
      <c r="B690" s="18"/>
      <c r="AC690" s="18"/>
      <c r="AD690" s="18"/>
      <c r="AE690" s="18"/>
      <c r="AF690" s="18"/>
    </row>
    <row r="691">
      <c r="A691" s="19"/>
      <c r="B691" s="18"/>
      <c r="AC691" s="18"/>
      <c r="AD691" s="18"/>
      <c r="AE691" s="18"/>
      <c r="AF691" s="18"/>
    </row>
    <row r="692">
      <c r="A692" s="19"/>
      <c r="B692" s="18"/>
      <c r="AC692" s="18"/>
      <c r="AD692" s="18"/>
      <c r="AE692" s="18"/>
      <c r="AF692" s="18"/>
    </row>
    <row r="693">
      <c r="A693" s="19"/>
      <c r="B693" s="18"/>
      <c r="AC693" s="18"/>
      <c r="AD693" s="18"/>
      <c r="AE693" s="18"/>
      <c r="AF693" s="18"/>
    </row>
    <row r="694">
      <c r="A694" s="19"/>
      <c r="B694" s="18"/>
      <c r="AC694" s="18"/>
      <c r="AD694" s="18"/>
      <c r="AE694" s="18"/>
      <c r="AF694" s="18"/>
    </row>
    <row r="695">
      <c r="A695" s="19"/>
      <c r="B695" s="18"/>
      <c r="AC695" s="18"/>
      <c r="AD695" s="18"/>
      <c r="AE695" s="18"/>
      <c r="AF695" s="18"/>
    </row>
    <row r="696">
      <c r="A696" s="19"/>
      <c r="B696" s="18"/>
      <c r="AC696" s="18"/>
      <c r="AD696" s="18"/>
      <c r="AE696" s="18"/>
      <c r="AF696" s="18"/>
    </row>
    <row r="697">
      <c r="A697" s="19"/>
      <c r="B697" s="18"/>
      <c r="AC697" s="18"/>
      <c r="AD697" s="18"/>
      <c r="AE697" s="18"/>
      <c r="AF697" s="18"/>
    </row>
    <row r="698">
      <c r="A698" s="19"/>
      <c r="B698" s="18"/>
      <c r="AC698" s="18"/>
      <c r="AD698" s="18"/>
      <c r="AE698" s="18"/>
      <c r="AF698" s="18"/>
    </row>
    <row r="699">
      <c r="A699" s="19"/>
      <c r="B699" s="18"/>
      <c r="AC699" s="18"/>
      <c r="AD699" s="18"/>
      <c r="AE699" s="18"/>
      <c r="AF699" s="18"/>
    </row>
    <row r="700">
      <c r="A700" s="19"/>
      <c r="B700" s="18"/>
      <c r="AC700" s="18"/>
      <c r="AD700" s="18"/>
      <c r="AE700" s="18"/>
      <c r="AF700" s="18"/>
    </row>
    <row r="701">
      <c r="A701" s="19"/>
      <c r="B701" s="18"/>
      <c r="AC701" s="18"/>
      <c r="AD701" s="18"/>
      <c r="AE701" s="18"/>
      <c r="AF701" s="18"/>
    </row>
    <row r="702">
      <c r="A702" s="19"/>
      <c r="B702" s="18"/>
      <c r="AC702" s="18"/>
      <c r="AD702" s="18"/>
      <c r="AE702" s="18"/>
      <c r="AF702" s="18"/>
    </row>
    <row r="703">
      <c r="A703" s="19"/>
      <c r="B703" s="18"/>
      <c r="AC703" s="18"/>
      <c r="AD703" s="18"/>
      <c r="AE703" s="18"/>
      <c r="AF703" s="18"/>
    </row>
    <row r="704">
      <c r="A704" s="19"/>
      <c r="B704" s="18"/>
      <c r="AC704" s="18"/>
      <c r="AD704" s="18"/>
      <c r="AE704" s="18"/>
      <c r="AF704" s="18"/>
    </row>
    <row r="705">
      <c r="A705" s="19"/>
      <c r="B705" s="18"/>
      <c r="AC705" s="18"/>
      <c r="AD705" s="18"/>
      <c r="AE705" s="18"/>
      <c r="AF705" s="18"/>
    </row>
    <row r="706">
      <c r="A706" s="19"/>
      <c r="B706" s="18"/>
      <c r="AC706" s="18"/>
      <c r="AD706" s="18"/>
      <c r="AE706" s="18"/>
      <c r="AF706" s="18"/>
    </row>
    <row r="707">
      <c r="A707" s="19"/>
      <c r="B707" s="18"/>
      <c r="AC707" s="18"/>
      <c r="AD707" s="18"/>
      <c r="AE707" s="18"/>
      <c r="AF707" s="18"/>
    </row>
    <row r="708">
      <c r="A708" s="19"/>
      <c r="B708" s="18"/>
      <c r="AC708" s="18"/>
      <c r="AD708" s="18"/>
      <c r="AE708" s="18"/>
      <c r="AF708" s="18"/>
    </row>
    <row r="709">
      <c r="A709" s="19"/>
      <c r="B709" s="18"/>
      <c r="AC709" s="18"/>
      <c r="AD709" s="18"/>
      <c r="AE709" s="18"/>
      <c r="AF709" s="18"/>
    </row>
    <row r="710">
      <c r="A710" s="19"/>
      <c r="B710" s="18"/>
      <c r="AC710" s="18"/>
      <c r="AD710" s="18"/>
      <c r="AE710" s="18"/>
      <c r="AF710" s="18"/>
    </row>
    <row r="711">
      <c r="A711" s="19"/>
      <c r="B711" s="18"/>
      <c r="AC711" s="18"/>
      <c r="AD711" s="18"/>
      <c r="AE711" s="18"/>
      <c r="AF711" s="18"/>
    </row>
    <row r="712">
      <c r="A712" s="19"/>
      <c r="B712" s="18"/>
      <c r="AC712" s="18"/>
      <c r="AD712" s="18"/>
      <c r="AE712" s="18"/>
      <c r="AF712" s="18"/>
    </row>
    <row r="713">
      <c r="A713" s="19"/>
      <c r="B713" s="18"/>
      <c r="AC713" s="18"/>
      <c r="AD713" s="18"/>
      <c r="AE713" s="18"/>
      <c r="AF713" s="18"/>
    </row>
    <row r="714">
      <c r="A714" s="19"/>
      <c r="B714" s="18"/>
      <c r="AC714" s="18"/>
      <c r="AD714" s="18"/>
      <c r="AE714" s="18"/>
      <c r="AF714" s="18"/>
    </row>
    <row r="715">
      <c r="A715" s="19"/>
      <c r="B715" s="18"/>
      <c r="AC715" s="18"/>
      <c r="AD715" s="18"/>
      <c r="AE715" s="18"/>
      <c r="AF715" s="18"/>
    </row>
    <row r="716">
      <c r="A716" s="19"/>
      <c r="B716" s="18"/>
      <c r="AC716" s="18"/>
      <c r="AD716" s="18"/>
      <c r="AE716" s="18"/>
      <c r="AF716" s="18"/>
    </row>
    <row r="717">
      <c r="A717" s="19"/>
      <c r="B717" s="18"/>
      <c r="AC717" s="18"/>
      <c r="AD717" s="18"/>
      <c r="AE717" s="18"/>
      <c r="AF717" s="18"/>
    </row>
    <row r="718">
      <c r="A718" s="19"/>
      <c r="B718" s="18"/>
      <c r="AC718" s="18"/>
      <c r="AD718" s="18"/>
      <c r="AE718" s="18"/>
      <c r="AF718" s="18"/>
    </row>
    <row r="719">
      <c r="A719" s="19"/>
      <c r="B719" s="18"/>
      <c r="AC719" s="18"/>
      <c r="AD719" s="18"/>
      <c r="AE719" s="18"/>
      <c r="AF719" s="18"/>
    </row>
    <row r="720">
      <c r="A720" s="19"/>
      <c r="B720" s="18"/>
      <c r="AC720" s="18"/>
      <c r="AD720" s="18"/>
      <c r="AE720" s="18"/>
      <c r="AF720" s="18"/>
    </row>
    <row r="721">
      <c r="A721" s="19"/>
      <c r="B721" s="18"/>
      <c r="AC721" s="18"/>
      <c r="AD721" s="18"/>
      <c r="AE721" s="18"/>
      <c r="AF721" s="18"/>
    </row>
    <row r="722">
      <c r="A722" s="19"/>
      <c r="B722" s="18"/>
      <c r="AC722" s="18"/>
      <c r="AD722" s="18"/>
      <c r="AE722" s="18"/>
      <c r="AF722" s="18"/>
    </row>
    <row r="723">
      <c r="A723" s="19"/>
      <c r="B723" s="18"/>
      <c r="AC723" s="18"/>
      <c r="AD723" s="18"/>
      <c r="AE723" s="18"/>
      <c r="AF723" s="18"/>
    </row>
    <row r="724">
      <c r="A724" s="19"/>
      <c r="B724" s="18"/>
      <c r="AC724" s="18"/>
      <c r="AD724" s="18"/>
      <c r="AE724" s="18"/>
      <c r="AF724" s="18"/>
    </row>
    <row r="725">
      <c r="A725" s="19"/>
      <c r="B725" s="18"/>
      <c r="AC725" s="18"/>
      <c r="AD725" s="18"/>
      <c r="AE725" s="18"/>
      <c r="AF725" s="18"/>
    </row>
    <row r="726">
      <c r="A726" s="19"/>
      <c r="B726" s="18"/>
      <c r="AC726" s="18"/>
      <c r="AD726" s="18"/>
      <c r="AE726" s="18"/>
      <c r="AF726" s="18"/>
    </row>
    <row r="727">
      <c r="A727" s="19"/>
      <c r="B727" s="18"/>
      <c r="AC727" s="18"/>
      <c r="AD727" s="18"/>
      <c r="AE727" s="18"/>
      <c r="AF727" s="18"/>
    </row>
    <row r="728">
      <c r="A728" s="19"/>
      <c r="B728" s="18"/>
      <c r="AC728" s="18"/>
      <c r="AD728" s="18"/>
      <c r="AE728" s="18"/>
      <c r="AF728" s="18"/>
    </row>
    <row r="729">
      <c r="A729" s="19"/>
      <c r="B729" s="18"/>
      <c r="AC729" s="18"/>
      <c r="AD729" s="18"/>
      <c r="AE729" s="18"/>
      <c r="AF729" s="18"/>
    </row>
    <row r="730">
      <c r="A730" s="19"/>
      <c r="B730" s="18"/>
      <c r="AC730" s="18"/>
      <c r="AD730" s="18"/>
      <c r="AE730" s="18"/>
      <c r="AF730" s="18"/>
    </row>
    <row r="731">
      <c r="A731" s="19"/>
      <c r="B731" s="18"/>
      <c r="AC731" s="18"/>
      <c r="AD731" s="18"/>
      <c r="AE731" s="18"/>
      <c r="AF731" s="18"/>
    </row>
    <row r="732">
      <c r="A732" s="19"/>
      <c r="B732" s="18"/>
      <c r="AC732" s="18"/>
      <c r="AD732" s="18"/>
      <c r="AE732" s="18"/>
      <c r="AF732" s="18"/>
    </row>
    <row r="733">
      <c r="A733" s="19"/>
      <c r="B733" s="18"/>
      <c r="AC733" s="18"/>
      <c r="AD733" s="18"/>
      <c r="AE733" s="18"/>
      <c r="AF733" s="18"/>
    </row>
    <row r="734">
      <c r="A734" s="19"/>
      <c r="B734" s="18"/>
      <c r="AC734" s="18"/>
      <c r="AD734" s="18"/>
      <c r="AE734" s="18"/>
      <c r="AF734" s="18"/>
    </row>
    <row r="735">
      <c r="A735" s="19"/>
      <c r="B735" s="18"/>
      <c r="AC735" s="18"/>
      <c r="AD735" s="18"/>
      <c r="AE735" s="18"/>
      <c r="AF735" s="18"/>
    </row>
    <row r="736">
      <c r="A736" s="19"/>
      <c r="B736" s="18"/>
      <c r="AC736" s="18"/>
      <c r="AD736" s="18"/>
      <c r="AE736" s="18"/>
      <c r="AF736" s="18"/>
    </row>
    <row r="737">
      <c r="A737" s="19"/>
      <c r="B737" s="18"/>
      <c r="AC737" s="18"/>
      <c r="AD737" s="18"/>
      <c r="AE737" s="18"/>
      <c r="AF737" s="18"/>
    </row>
    <row r="738">
      <c r="A738" s="19"/>
      <c r="B738" s="18"/>
      <c r="AC738" s="18"/>
      <c r="AD738" s="18"/>
      <c r="AE738" s="18"/>
      <c r="AF738" s="18"/>
    </row>
    <row r="739">
      <c r="A739" s="19"/>
      <c r="B739" s="18"/>
      <c r="AC739" s="18"/>
      <c r="AD739" s="18"/>
      <c r="AE739" s="18"/>
      <c r="AF739" s="18"/>
    </row>
    <row r="740">
      <c r="A740" s="19"/>
      <c r="B740" s="18"/>
      <c r="AC740" s="18"/>
      <c r="AD740" s="18"/>
      <c r="AE740" s="18"/>
      <c r="AF740" s="18"/>
    </row>
    <row r="741">
      <c r="A741" s="19"/>
      <c r="B741" s="18"/>
      <c r="AC741" s="18"/>
      <c r="AD741" s="18"/>
      <c r="AE741" s="18"/>
      <c r="AF741" s="18"/>
    </row>
    <row r="742">
      <c r="A742" s="19"/>
      <c r="B742" s="18"/>
      <c r="AC742" s="18"/>
      <c r="AD742" s="18"/>
      <c r="AE742" s="18"/>
      <c r="AF742" s="18"/>
    </row>
    <row r="743">
      <c r="A743" s="19"/>
      <c r="B743" s="18"/>
      <c r="AC743" s="18"/>
      <c r="AD743" s="18"/>
      <c r="AE743" s="18"/>
      <c r="AF743" s="18"/>
    </row>
    <row r="744">
      <c r="A744" s="19"/>
      <c r="B744" s="18"/>
      <c r="AC744" s="18"/>
      <c r="AD744" s="18"/>
      <c r="AE744" s="18"/>
      <c r="AF744" s="18"/>
    </row>
    <row r="745">
      <c r="A745" s="19"/>
      <c r="B745" s="18"/>
      <c r="AC745" s="18"/>
      <c r="AD745" s="18"/>
      <c r="AE745" s="18"/>
      <c r="AF745" s="18"/>
    </row>
    <row r="746">
      <c r="A746" s="19"/>
      <c r="B746" s="18"/>
      <c r="AC746" s="18"/>
      <c r="AD746" s="18"/>
      <c r="AE746" s="18"/>
      <c r="AF746" s="18"/>
    </row>
    <row r="747">
      <c r="A747" s="19"/>
      <c r="B747" s="18"/>
      <c r="AC747" s="18"/>
      <c r="AD747" s="18"/>
      <c r="AE747" s="18"/>
      <c r="AF747" s="18"/>
    </row>
    <row r="748">
      <c r="A748" s="19"/>
      <c r="B748" s="18"/>
      <c r="AC748" s="18"/>
      <c r="AD748" s="18"/>
      <c r="AE748" s="18"/>
      <c r="AF748" s="18"/>
    </row>
    <row r="749">
      <c r="A749" s="19"/>
      <c r="B749" s="18"/>
      <c r="AC749" s="18"/>
      <c r="AD749" s="18"/>
      <c r="AE749" s="18"/>
      <c r="AF749" s="18"/>
    </row>
    <row r="750">
      <c r="A750" s="19"/>
      <c r="B750" s="18"/>
      <c r="AC750" s="18"/>
      <c r="AD750" s="18"/>
      <c r="AE750" s="18"/>
      <c r="AF750" s="18"/>
    </row>
    <row r="751">
      <c r="A751" s="19"/>
      <c r="B751" s="18"/>
      <c r="AC751" s="18"/>
      <c r="AD751" s="18"/>
      <c r="AE751" s="18"/>
      <c r="AF751" s="18"/>
    </row>
    <row r="752">
      <c r="A752" s="19"/>
      <c r="B752" s="18"/>
      <c r="AC752" s="18"/>
      <c r="AD752" s="18"/>
      <c r="AE752" s="18"/>
      <c r="AF752" s="18"/>
    </row>
    <row r="753">
      <c r="A753" s="19"/>
      <c r="B753" s="18"/>
      <c r="AC753" s="18"/>
      <c r="AD753" s="18"/>
      <c r="AE753" s="18"/>
      <c r="AF753" s="18"/>
    </row>
    <row r="754">
      <c r="A754" s="19"/>
      <c r="B754" s="18"/>
      <c r="AC754" s="18"/>
      <c r="AD754" s="18"/>
      <c r="AE754" s="18"/>
      <c r="AF754" s="18"/>
    </row>
    <row r="755">
      <c r="A755" s="19"/>
      <c r="B755" s="18"/>
      <c r="AC755" s="18"/>
      <c r="AD755" s="18"/>
      <c r="AE755" s="18"/>
      <c r="AF755" s="18"/>
    </row>
    <row r="756">
      <c r="A756" s="19"/>
      <c r="B756" s="18"/>
      <c r="AC756" s="18"/>
      <c r="AD756" s="18"/>
      <c r="AE756" s="18"/>
      <c r="AF756" s="18"/>
    </row>
    <row r="757">
      <c r="A757" s="19"/>
      <c r="B757" s="18"/>
      <c r="AC757" s="18"/>
      <c r="AD757" s="18"/>
      <c r="AE757" s="18"/>
      <c r="AF757" s="18"/>
    </row>
    <row r="758">
      <c r="A758" s="19"/>
      <c r="B758" s="18"/>
      <c r="AC758" s="18"/>
      <c r="AD758" s="18"/>
      <c r="AE758" s="18"/>
      <c r="AF758" s="18"/>
    </row>
    <row r="759">
      <c r="A759" s="19"/>
      <c r="B759" s="18"/>
      <c r="AC759" s="18"/>
      <c r="AD759" s="18"/>
      <c r="AE759" s="18"/>
      <c r="AF759" s="18"/>
    </row>
    <row r="760">
      <c r="A760" s="19"/>
      <c r="B760" s="18"/>
      <c r="AC760" s="18"/>
      <c r="AD760" s="18"/>
      <c r="AE760" s="18"/>
      <c r="AF760" s="18"/>
    </row>
    <row r="761">
      <c r="A761" s="19"/>
      <c r="B761" s="18"/>
      <c r="AC761" s="18"/>
      <c r="AD761" s="18"/>
      <c r="AE761" s="18"/>
      <c r="AF761" s="18"/>
    </row>
    <row r="762">
      <c r="A762" s="19"/>
      <c r="B762" s="18"/>
      <c r="AC762" s="18"/>
      <c r="AD762" s="18"/>
      <c r="AE762" s="18"/>
      <c r="AF762" s="18"/>
    </row>
    <row r="763">
      <c r="A763" s="19"/>
      <c r="B763" s="18"/>
      <c r="AC763" s="18"/>
      <c r="AD763" s="18"/>
      <c r="AE763" s="18"/>
      <c r="AF763" s="18"/>
    </row>
    <row r="764">
      <c r="A764" s="19"/>
      <c r="B764" s="18"/>
      <c r="AC764" s="18"/>
      <c r="AD764" s="18"/>
      <c r="AE764" s="18"/>
      <c r="AF764" s="18"/>
    </row>
    <row r="765">
      <c r="A765" s="19"/>
      <c r="B765" s="18"/>
      <c r="AC765" s="18"/>
      <c r="AD765" s="18"/>
      <c r="AE765" s="18"/>
      <c r="AF765" s="18"/>
    </row>
    <row r="766">
      <c r="A766" s="19"/>
      <c r="B766" s="18"/>
      <c r="AC766" s="18"/>
      <c r="AD766" s="18"/>
      <c r="AE766" s="18"/>
      <c r="AF766" s="18"/>
    </row>
    <row r="767">
      <c r="A767" s="19"/>
      <c r="B767" s="18"/>
      <c r="AC767" s="18"/>
      <c r="AD767" s="18"/>
      <c r="AE767" s="18"/>
      <c r="AF767" s="18"/>
    </row>
    <row r="768">
      <c r="A768" s="19"/>
      <c r="B768" s="18"/>
      <c r="AC768" s="18"/>
      <c r="AD768" s="18"/>
      <c r="AE768" s="18"/>
      <c r="AF768" s="18"/>
    </row>
    <row r="769">
      <c r="A769" s="19"/>
      <c r="B769" s="18"/>
      <c r="AC769" s="18"/>
      <c r="AD769" s="18"/>
      <c r="AE769" s="18"/>
      <c r="AF769" s="18"/>
    </row>
    <row r="770">
      <c r="A770" s="19"/>
      <c r="B770" s="18"/>
      <c r="AC770" s="18"/>
      <c r="AD770" s="18"/>
      <c r="AE770" s="18"/>
      <c r="AF770" s="18"/>
    </row>
    <row r="771">
      <c r="A771" s="19"/>
      <c r="B771" s="18"/>
      <c r="AC771" s="18"/>
      <c r="AD771" s="18"/>
      <c r="AE771" s="18"/>
      <c r="AF771" s="18"/>
    </row>
    <row r="772">
      <c r="A772" s="19"/>
      <c r="B772" s="18"/>
      <c r="AC772" s="18"/>
      <c r="AD772" s="18"/>
      <c r="AE772" s="18"/>
      <c r="AF772" s="18"/>
    </row>
    <row r="773">
      <c r="A773" s="19"/>
      <c r="B773" s="18"/>
      <c r="AC773" s="18"/>
      <c r="AD773" s="18"/>
      <c r="AE773" s="18"/>
      <c r="AF773" s="18"/>
    </row>
    <row r="774">
      <c r="A774" s="19"/>
      <c r="B774" s="18"/>
      <c r="AC774" s="18"/>
      <c r="AD774" s="18"/>
      <c r="AE774" s="18"/>
      <c r="AF774" s="18"/>
    </row>
    <row r="775">
      <c r="A775" s="19"/>
      <c r="B775" s="18"/>
      <c r="AC775" s="18"/>
      <c r="AD775" s="18"/>
      <c r="AE775" s="18"/>
      <c r="AF775" s="18"/>
    </row>
    <row r="776">
      <c r="A776" s="19"/>
      <c r="B776" s="18"/>
      <c r="AC776" s="18"/>
      <c r="AD776" s="18"/>
      <c r="AE776" s="18"/>
      <c r="AF776" s="18"/>
    </row>
    <row r="777">
      <c r="A777" s="19"/>
      <c r="B777" s="18"/>
      <c r="AC777" s="18"/>
      <c r="AD777" s="18"/>
      <c r="AE777" s="18"/>
      <c r="AF777" s="18"/>
    </row>
    <row r="778">
      <c r="A778" s="19"/>
      <c r="B778" s="18"/>
      <c r="AC778" s="18"/>
      <c r="AD778" s="18"/>
      <c r="AE778" s="18"/>
      <c r="AF778" s="18"/>
    </row>
    <row r="779">
      <c r="A779" s="19"/>
      <c r="B779" s="18"/>
      <c r="AC779" s="18"/>
      <c r="AD779" s="18"/>
      <c r="AE779" s="18"/>
      <c r="AF779" s="18"/>
    </row>
    <row r="780">
      <c r="A780" s="19"/>
      <c r="B780" s="18"/>
      <c r="AC780" s="18"/>
      <c r="AD780" s="18"/>
      <c r="AE780" s="18"/>
      <c r="AF780" s="18"/>
    </row>
    <row r="781">
      <c r="A781" s="19"/>
      <c r="B781" s="18"/>
      <c r="AC781" s="18"/>
      <c r="AD781" s="18"/>
      <c r="AE781" s="18"/>
      <c r="AF781" s="18"/>
    </row>
    <row r="782">
      <c r="A782" s="19"/>
      <c r="B782" s="18"/>
      <c r="AC782" s="18"/>
      <c r="AD782" s="18"/>
      <c r="AE782" s="18"/>
      <c r="AF782" s="18"/>
    </row>
    <row r="783">
      <c r="A783" s="19"/>
      <c r="B783" s="18"/>
      <c r="AC783" s="18"/>
      <c r="AD783" s="18"/>
      <c r="AE783" s="18"/>
      <c r="AF783" s="18"/>
    </row>
    <row r="784">
      <c r="A784" s="19"/>
      <c r="B784" s="18"/>
      <c r="AC784" s="18"/>
      <c r="AD784" s="18"/>
      <c r="AE784" s="18"/>
      <c r="AF784" s="18"/>
    </row>
    <row r="785">
      <c r="A785" s="19"/>
      <c r="B785" s="18"/>
      <c r="AC785" s="18"/>
      <c r="AD785" s="18"/>
      <c r="AE785" s="18"/>
      <c r="AF785" s="18"/>
    </row>
    <row r="786">
      <c r="A786" s="19"/>
      <c r="B786" s="18"/>
      <c r="AC786" s="18"/>
      <c r="AD786" s="18"/>
      <c r="AE786" s="18"/>
      <c r="AF786" s="18"/>
    </row>
    <row r="787">
      <c r="A787" s="19"/>
      <c r="B787" s="18"/>
      <c r="AC787" s="18"/>
      <c r="AD787" s="18"/>
      <c r="AE787" s="18"/>
      <c r="AF787" s="18"/>
    </row>
    <row r="788">
      <c r="A788" s="19"/>
      <c r="B788" s="18"/>
      <c r="AC788" s="18"/>
      <c r="AD788" s="18"/>
      <c r="AE788" s="18"/>
      <c r="AF788" s="18"/>
    </row>
    <row r="789">
      <c r="A789" s="19"/>
      <c r="B789" s="18"/>
      <c r="AC789" s="18"/>
      <c r="AD789" s="18"/>
      <c r="AE789" s="18"/>
      <c r="AF789" s="18"/>
    </row>
    <row r="790">
      <c r="A790" s="19"/>
      <c r="B790" s="18"/>
      <c r="AC790" s="18"/>
      <c r="AD790" s="18"/>
      <c r="AE790" s="18"/>
      <c r="AF790" s="18"/>
    </row>
    <row r="791">
      <c r="A791" s="19"/>
      <c r="B791" s="18"/>
      <c r="AC791" s="18"/>
      <c r="AD791" s="18"/>
      <c r="AE791" s="18"/>
      <c r="AF791" s="18"/>
    </row>
    <row r="792">
      <c r="A792" s="19"/>
      <c r="B792" s="18"/>
      <c r="AC792" s="18"/>
      <c r="AD792" s="18"/>
      <c r="AE792" s="18"/>
      <c r="AF792" s="18"/>
    </row>
    <row r="793">
      <c r="A793" s="19"/>
      <c r="B793" s="18"/>
      <c r="AC793" s="18"/>
      <c r="AD793" s="18"/>
      <c r="AE793" s="18"/>
      <c r="AF793" s="18"/>
    </row>
    <row r="794">
      <c r="A794" s="19"/>
      <c r="B794" s="18"/>
      <c r="AC794" s="18"/>
      <c r="AD794" s="18"/>
      <c r="AE794" s="18"/>
      <c r="AF794" s="18"/>
    </row>
    <row r="795">
      <c r="A795" s="19"/>
      <c r="B795" s="18"/>
      <c r="AC795" s="18"/>
      <c r="AD795" s="18"/>
      <c r="AE795" s="18"/>
      <c r="AF795" s="18"/>
    </row>
    <row r="796">
      <c r="A796" s="19"/>
      <c r="B796" s="18"/>
      <c r="AC796" s="18"/>
      <c r="AD796" s="18"/>
      <c r="AE796" s="18"/>
      <c r="AF796" s="18"/>
    </row>
    <row r="797">
      <c r="A797" s="19"/>
      <c r="B797" s="18"/>
      <c r="AC797" s="18"/>
      <c r="AD797" s="18"/>
      <c r="AE797" s="18"/>
      <c r="AF797" s="18"/>
    </row>
    <row r="798">
      <c r="A798" s="19"/>
      <c r="B798" s="18"/>
      <c r="AC798" s="18"/>
      <c r="AD798" s="18"/>
      <c r="AE798" s="18"/>
      <c r="AF798" s="18"/>
    </row>
    <row r="799">
      <c r="A799" s="19"/>
      <c r="B799" s="18"/>
      <c r="AC799" s="18"/>
      <c r="AD799" s="18"/>
      <c r="AE799" s="18"/>
      <c r="AF799" s="18"/>
    </row>
    <row r="800">
      <c r="A800" s="19"/>
      <c r="B800" s="18"/>
      <c r="AC800" s="18"/>
      <c r="AD800" s="18"/>
      <c r="AE800" s="18"/>
      <c r="AF800" s="18"/>
    </row>
    <row r="801">
      <c r="A801" s="19"/>
      <c r="B801" s="18"/>
      <c r="AC801" s="18"/>
      <c r="AD801" s="18"/>
      <c r="AE801" s="18"/>
      <c r="AF801" s="18"/>
    </row>
    <row r="802">
      <c r="A802" s="19"/>
      <c r="B802" s="18"/>
      <c r="AC802" s="18"/>
      <c r="AD802" s="18"/>
      <c r="AE802" s="18"/>
      <c r="AF802" s="18"/>
    </row>
    <row r="803">
      <c r="A803" s="19"/>
      <c r="B803" s="18"/>
      <c r="AC803" s="18"/>
      <c r="AD803" s="18"/>
      <c r="AE803" s="18"/>
      <c r="AF803" s="18"/>
    </row>
    <row r="804">
      <c r="A804" s="19"/>
      <c r="B804" s="18"/>
      <c r="AC804" s="18"/>
      <c r="AD804" s="18"/>
      <c r="AE804" s="18"/>
      <c r="AF804" s="18"/>
    </row>
    <row r="805">
      <c r="A805" s="19"/>
      <c r="B805" s="18"/>
      <c r="AC805" s="18"/>
      <c r="AD805" s="18"/>
      <c r="AE805" s="18"/>
      <c r="AF805" s="18"/>
    </row>
    <row r="806">
      <c r="A806" s="19"/>
      <c r="B806" s="18"/>
      <c r="AC806" s="18"/>
      <c r="AD806" s="18"/>
      <c r="AE806" s="18"/>
      <c r="AF806" s="18"/>
    </row>
    <row r="807">
      <c r="A807" s="19"/>
      <c r="B807" s="18"/>
      <c r="AC807" s="18"/>
      <c r="AD807" s="18"/>
      <c r="AE807" s="18"/>
      <c r="AF807" s="18"/>
    </row>
    <row r="808">
      <c r="A808" s="19"/>
      <c r="B808" s="18"/>
      <c r="AC808" s="18"/>
      <c r="AD808" s="18"/>
      <c r="AE808" s="18"/>
      <c r="AF808" s="18"/>
    </row>
    <row r="809">
      <c r="A809" s="19"/>
      <c r="B809" s="18"/>
      <c r="AC809" s="18"/>
      <c r="AD809" s="18"/>
      <c r="AE809" s="18"/>
      <c r="AF809" s="18"/>
    </row>
    <row r="810">
      <c r="A810" s="19"/>
      <c r="B810" s="18"/>
      <c r="AC810" s="18"/>
      <c r="AD810" s="18"/>
      <c r="AE810" s="18"/>
      <c r="AF810" s="18"/>
    </row>
    <row r="811">
      <c r="A811" s="19"/>
      <c r="B811" s="18"/>
      <c r="AC811" s="18"/>
      <c r="AD811" s="18"/>
      <c r="AE811" s="18"/>
      <c r="AF811" s="18"/>
    </row>
    <row r="812">
      <c r="A812" s="19"/>
      <c r="B812" s="18"/>
      <c r="AC812" s="18"/>
      <c r="AD812" s="18"/>
      <c r="AE812" s="18"/>
      <c r="AF812" s="18"/>
    </row>
    <row r="813">
      <c r="A813" s="19"/>
      <c r="B813" s="18"/>
      <c r="AC813" s="18"/>
      <c r="AD813" s="18"/>
      <c r="AE813" s="18"/>
      <c r="AF813" s="18"/>
    </row>
    <row r="814">
      <c r="A814" s="19"/>
      <c r="B814" s="18"/>
      <c r="AC814" s="18"/>
      <c r="AD814" s="18"/>
      <c r="AE814" s="18"/>
      <c r="AF814" s="18"/>
    </row>
    <row r="815">
      <c r="A815" s="19"/>
      <c r="B815" s="18"/>
      <c r="AC815" s="18"/>
      <c r="AD815" s="18"/>
      <c r="AE815" s="18"/>
      <c r="AF815" s="18"/>
    </row>
    <row r="816">
      <c r="A816" s="19"/>
      <c r="B816" s="18"/>
      <c r="AC816" s="18"/>
      <c r="AD816" s="18"/>
      <c r="AE816" s="18"/>
      <c r="AF816" s="18"/>
    </row>
    <row r="817">
      <c r="A817" s="19"/>
      <c r="B817" s="18"/>
      <c r="AC817" s="18"/>
      <c r="AD817" s="18"/>
      <c r="AE817" s="18"/>
      <c r="AF817" s="18"/>
    </row>
    <row r="818">
      <c r="A818" s="19"/>
      <c r="B818" s="18"/>
      <c r="AC818" s="18"/>
      <c r="AD818" s="18"/>
      <c r="AE818" s="18"/>
      <c r="AF818" s="18"/>
    </row>
    <row r="819">
      <c r="A819" s="19"/>
      <c r="B819" s="18"/>
      <c r="AC819" s="18"/>
      <c r="AD819" s="18"/>
      <c r="AE819" s="18"/>
      <c r="AF819" s="18"/>
    </row>
    <row r="820">
      <c r="A820" s="19"/>
      <c r="B820" s="18"/>
      <c r="AC820" s="18"/>
      <c r="AD820" s="18"/>
      <c r="AE820" s="18"/>
      <c r="AF820" s="18"/>
    </row>
    <row r="821">
      <c r="A821" s="19"/>
      <c r="B821" s="18"/>
      <c r="AC821" s="18"/>
      <c r="AD821" s="18"/>
      <c r="AE821" s="18"/>
      <c r="AF821" s="18"/>
    </row>
    <row r="822">
      <c r="A822" s="19"/>
      <c r="B822" s="18"/>
      <c r="AC822" s="18"/>
      <c r="AD822" s="18"/>
      <c r="AE822" s="18"/>
      <c r="AF822" s="18"/>
    </row>
    <row r="823">
      <c r="A823" s="19"/>
      <c r="B823" s="18"/>
      <c r="AC823" s="18"/>
      <c r="AD823" s="18"/>
      <c r="AE823" s="18"/>
      <c r="AF823" s="18"/>
    </row>
    <row r="824">
      <c r="A824" s="19"/>
      <c r="B824" s="18"/>
      <c r="AC824" s="18"/>
      <c r="AD824" s="18"/>
      <c r="AE824" s="18"/>
      <c r="AF824" s="18"/>
    </row>
    <row r="825">
      <c r="A825" s="19"/>
      <c r="B825" s="18"/>
      <c r="AC825" s="18"/>
      <c r="AD825" s="18"/>
      <c r="AE825" s="18"/>
      <c r="AF825" s="18"/>
    </row>
    <row r="826">
      <c r="A826" s="19"/>
      <c r="B826" s="18"/>
      <c r="AC826" s="18"/>
      <c r="AD826" s="18"/>
      <c r="AE826" s="18"/>
      <c r="AF826" s="18"/>
    </row>
    <row r="827">
      <c r="A827" s="19"/>
      <c r="B827" s="18"/>
      <c r="AC827" s="18"/>
      <c r="AD827" s="18"/>
      <c r="AE827" s="18"/>
      <c r="AF827" s="18"/>
    </row>
    <row r="828">
      <c r="A828" s="19"/>
      <c r="B828" s="18"/>
      <c r="AC828" s="18"/>
      <c r="AD828" s="18"/>
      <c r="AE828" s="18"/>
      <c r="AF828" s="18"/>
    </row>
    <row r="829">
      <c r="A829" s="19"/>
      <c r="B829" s="18"/>
      <c r="AC829" s="18"/>
      <c r="AD829" s="18"/>
      <c r="AE829" s="18"/>
      <c r="AF829" s="18"/>
    </row>
    <row r="830">
      <c r="A830" s="19"/>
      <c r="B830" s="18"/>
      <c r="AC830" s="18"/>
      <c r="AD830" s="18"/>
      <c r="AE830" s="18"/>
      <c r="AF830" s="18"/>
    </row>
    <row r="831">
      <c r="A831" s="19"/>
      <c r="B831" s="18"/>
      <c r="AC831" s="18"/>
      <c r="AD831" s="18"/>
      <c r="AE831" s="18"/>
      <c r="AF831" s="18"/>
    </row>
    <row r="832">
      <c r="A832" s="19"/>
      <c r="B832" s="18"/>
      <c r="AC832" s="18"/>
      <c r="AD832" s="18"/>
      <c r="AE832" s="18"/>
      <c r="AF832" s="18"/>
    </row>
    <row r="833">
      <c r="A833" s="19"/>
      <c r="B833" s="18"/>
      <c r="AC833" s="18"/>
      <c r="AD833" s="18"/>
      <c r="AE833" s="18"/>
      <c r="AF833" s="18"/>
    </row>
    <row r="834">
      <c r="A834" s="19"/>
      <c r="B834" s="18"/>
      <c r="AC834" s="18"/>
      <c r="AD834" s="18"/>
      <c r="AE834" s="18"/>
      <c r="AF834" s="18"/>
    </row>
    <row r="835">
      <c r="A835" s="19"/>
      <c r="B835" s="18"/>
      <c r="AC835" s="18"/>
      <c r="AD835" s="18"/>
      <c r="AE835" s="18"/>
      <c r="AF835" s="18"/>
    </row>
    <row r="836">
      <c r="A836" s="19"/>
      <c r="B836" s="18"/>
      <c r="AC836" s="18"/>
      <c r="AD836" s="18"/>
      <c r="AE836" s="18"/>
      <c r="AF836" s="18"/>
    </row>
    <row r="837">
      <c r="A837" s="19"/>
      <c r="B837" s="18"/>
      <c r="AC837" s="18"/>
      <c r="AD837" s="18"/>
      <c r="AE837" s="18"/>
      <c r="AF837" s="18"/>
    </row>
    <row r="838">
      <c r="A838" s="19"/>
      <c r="B838" s="18"/>
      <c r="AC838" s="18"/>
      <c r="AD838" s="18"/>
      <c r="AE838" s="18"/>
      <c r="AF838" s="18"/>
    </row>
    <row r="839">
      <c r="A839" s="19"/>
      <c r="B839" s="18"/>
      <c r="AC839" s="18"/>
      <c r="AD839" s="18"/>
      <c r="AE839" s="18"/>
      <c r="AF839" s="18"/>
    </row>
    <row r="840">
      <c r="A840" s="19"/>
      <c r="B840" s="18"/>
      <c r="AC840" s="18"/>
      <c r="AD840" s="18"/>
      <c r="AE840" s="18"/>
      <c r="AF840" s="18"/>
    </row>
    <row r="841">
      <c r="A841" s="19"/>
      <c r="B841" s="18"/>
      <c r="AC841" s="18"/>
      <c r="AD841" s="18"/>
      <c r="AE841" s="18"/>
      <c r="AF841" s="18"/>
    </row>
    <row r="842">
      <c r="A842" s="19"/>
      <c r="B842" s="18"/>
      <c r="AC842" s="18"/>
      <c r="AD842" s="18"/>
      <c r="AE842" s="18"/>
      <c r="AF842" s="18"/>
    </row>
    <row r="843">
      <c r="A843" s="19"/>
      <c r="B843" s="18"/>
      <c r="AC843" s="18"/>
      <c r="AD843" s="18"/>
      <c r="AE843" s="18"/>
      <c r="AF843" s="18"/>
    </row>
    <row r="844">
      <c r="A844" s="19"/>
      <c r="B844" s="18"/>
      <c r="AC844" s="18"/>
      <c r="AD844" s="18"/>
      <c r="AE844" s="18"/>
      <c r="AF844" s="18"/>
    </row>
    <row r="845">
      <c r="A845" s="19"/>
      <c r="B845" s="18"/>
      <c r="AC845" s="18"/>
      <c r="AD845" s="18"/>
      <c r="AE845" s="18"/>
      <c r="AF845" s="18"/>
    </row>
    <row r="846">
      <c r="A846" s="19"/>
      <c r="B846" s="18"/>
      <c r="AC846" s="18"/>
      <c r="AD846" s="18"/>
      <c r="AE846" s="18"/>
      <c r="AF846" s="18"/>
    </row>
    <row r="847">
      <c r="A847" s="19"/>
      <c r="B847" s="18"/>
      <c r="AC847" s="18"/>
      <c r="AD847" s="18"/>
      <c r="AE847" s="18"/>
      <c r="AF847" s="18"/>
    </row>
    <row r="848">
      <c r="A848" s="19"/>
      <c r="B848" s="18"/>
      <c r="AC848" s="18"/>
      <c r="AD848" s="18"/>
      <c r="AE848" s="18"/>
      <c r="AF848" s="18"/>
    </row>
    <row r="849">
      <c r="A849" s="19"/>
      <c r="B849" s="18"/>
      <c r="AC849" s="18"/>
      <c r="AD849" s="18"/>
      <c r="AE849" s="18"/>
      <c r="AF849" s="18"/>
    </row>
    <row r="850">
      <c r="A850" s="19"/>
      <c r="B850" s="18"/>
      <c r="AC850" s="18"/>
      <c r="AD850" s="18"/>
      <c r="AE850" s="18"/>
      <c r="AF850" s="18"/>
    </row>
    <row r="851">
      <c r="A851" s="19"/>
      <c r="B851" s="18"/>
      <c r="AC851" s="18"/>
      <c r="AD851" s="18"/>
      <c r="AE851" s="18"/>
      <c r="AF851" s="18"/>
    </row>
    <row r="852">
      <c r="A852" s="19"/>
      <c r="B852" s="18"/>
      <c r="AC852" s="18"/>
      <c r="AD852" s="18"/>
      <c r="AE852" s="18"/>
      <c r="AF852" s="18"/>
    </row>
    <row r="853">
      <c r="A853" s="19"/>
      <c r="B853" s="18"/>
      <c r="AC853" s="18"/>
      <c r="AD853" s="18"/>
      <c r="AE853" s="18"/>
      <c r="AF853" s="18"/>
    </row>
    <row r="854">
      <c r="A854" s="19"/>
      <c r="B854" s="18"/>
      <c r="AC854" s="18"/>
      <c r="AD854" s="18"/>
      <c r="AE854" s="18"/>
      <c r="AF854" s="18"/>
    </row>
    <row r="855">
      <c r="A855" s="19"/>
      <c r="B855" s="18"/>
      <c r="AC855" s="18"/>
      <c r="AD855" s="18"/>
      <c r="AE855" s="18"/>
      <c r="AF855" s="18"/>
    </row>
    <row r="856">
      <c r="A856" s="19"/>
      <c r="B856" s="18"/>
      <c r="AC856" s="18"/>
      <c r="AD856" s="18"/>
      <c r="AE856" s="18"/>
      <c r="AF856" s="18"/>
    </row>
    <row r="857">
      <c r="A857" s="19"/>
      <c r="B857" s="18"/>
      <c r="AC857" s="18"/>
      <c r="AD857" s="18"/>
      <c r="AE857" s="18"/>
      <c r="AF857" s="18"/>
    </row>
    <row r="858">
      <c r="A858" s="19"/>
      <c r="B858" s="18"/>
      <c r="AC858" s="18"/>
      <c r="AD858" s="18"/>
      <c r="AE858" s="18"/>
      <c r="AF858" s="18"/>
    </row>
    <row r="859">
      <c r="A859" s="19"/>
      <c r="B859" s="18"/>
      <c r="AC859" s="18"/>
      <c r="AD859" s="18"/>
      <c r="AE859" s="18"/>
      <c r="AF859" s="18"/>
    </row>
    <row r="860">
      <c r="A860" s="19"/>
      <c r="B860" s="18"/>
      <c r="AC860" s="18"/>
      <c r="AD860" s="18"/>
      <c r="AE860" s="18"/>
      <c r="AF860" s="18"/>
    </row>
    <row r="861">
      <c r="A861" s="19"/>
      <c r="B861" s="18"/>
      <c r="AC861" s="18"/>
      <c r="AD861" s="18"/>
      <c r="AE861" s="18"/>
      <c r="AF861" s="18"/>
    </row>
    <row r="862">
      <c r="A862" s="19"/>
      <c r="B862" s="18"/>
      <c r="AC862" s="18"/>
      <c r="AD862" s="18"/>
      <c r="AE862" s="18"/>
      <c r="AF862" s="18"/>
    </row>
    <row r="863">
      <c r="A863" s="19"/>
      <c r="B863" s="18"/>
      <c r="AC863" s="18"/>
      <c r="AD863" s="18"/>
      <c r="AE863" s="18"/>
      <c r="AF863" s="18"/>
    </row>
    <row r="864">
      <c r="A864" s="19"/>
      <c r="B864" s="18"/>
      <c r="AC864" s="18"/>
      <c r="AD864" s="18"/>
      <c r="AE864" s="18"/>
      <c r="AF864" s="18"/>
    </row>
    <row r="865">
      <c r="A865" s="19"/>
      <c r="B865" s="18"/>
      <c r="AC865" s="18"/>
      <c r="AD865" s="18"/>
      <c r="AE865" s="18"/>
      <c r="AF865" s="18"/>
    </row>
    <row r="866">
      <c r="A866" s="19"/>
      <c r="B866" s="18"/>
      <c r="AC866" s="18"/>
      <c r="AD866" s="18"/>
      <c r="AE866" s="18"/>
      <c r="AF866" s="18"/>
    </row>
    <row r="867">
      <c r="A867" s="19"/>
      <c r="B867" s="18"/>
      <c r="AC867" s="18"/>
      <c r="AD867" s="18"/>
      <c r="AE867" s="18"/>
      <c r="AF867" s="18"/>
    </row>
    <row r="868">
      <c r="A868" s="19"/>
      <c r="B868" s="18"/>
      <c r="AC868" s="18"/>
      <c r="AD868" s="18"/>
      <c r="AE868" s="18"/>
      <c r="AF868" s="18"/>
    </row>
    <row r="869">
      <c r="A869" s="19"/>
      <c r="B869" s="18"/>
      <c r="AC869" s="18"/>
      <c r="AD869" s="18"/>
      <c r="AE869" s="18"/>
      <c r="AF869" s="18"/>
    </row>
    <row r="870">
      <c r="A870" s="19"/>
      <c r="B870" s="18"/>
      <c r="AC870" s="18"/>
      <c r="AD870" s="18"/>
      <c r="AE870" s="18"/>
      <c r="AF870" s="18"/>
    </row>
    <row r="871">
      <c r="A871" s="19"/>
      <c r="B871" s="18"/>
      <c r="AC871" s="18"/>
      <c r="AD871" s="18"/>
      <c r="AE871" s="18"/>
      <c r="AF871" s="18"/>
    </row>
    <row r="872">
      <c r="A872" s="19"/>
      <c r="B872" s="18"/>
      <c r="AC872" s="18"/>
      <c r="AD872" s="18"/>
      <c r="AE872" s="18"/>
      <c r="AF872" s="18"/>
    </row>
    <row r="873">
      <c r="A873" s="19"/>
      <c r="B873" s="18"/>
      <c r="AC873" s="18"/>
      <c r="AD873" s="18"/>
      <c r="AE873" s="18"/>
      <c r="AF873" s="18"/>
    </row>
    <row r="874">
      <c r="A874" s="19"/>
      <c r="B874" s="18"/>
      <c r="AC874" s="18"/>
      <c r="AD874" s="18"/>
      <c r="AE874" s="18"/>
      <c r="AF874" s="18"/>
    </row>
    <row r="875">
      <c r="A875" s="19"/>
      <c r="B875" s="18"/>
      <c r="AC875" s="18"/>
      <c r="AD875" s="18"/>
      <c r="AE875" s="18"/>
      <c r="AF875" s="18"/>
    </row>
    <row r="876">
      <c r="A876" s="19"/>
      <c r="B876" s="18"/>
      <c r="AC876" s="18"/>
      <c r="AD876" s="18"/>
      <c r="AE876" s="18"/>
      <c r="AF876" s="18"/>
    </row>
    <row r="877">
      <c r="A877" s="19"/>
      <c r="B877" s="18"/>
      <c r="AC877" s="18"/>
      <c r="AD877" s="18"/>
      <c r="AE877" s="18"/>
      <c r="AF877" s="18"/>
    </row>
    <row r="878">
      <c r="A878" s="19"/>
      <c r="B878" s="18"/>
      <c r="AC878" s="18"/>
      <c r="AD878" s="18"/>
      <c r="AE878" s="18"/>
      <c r="AF878" s="18"/>
    </row>
    <row r="879">
      <c r="A879" s="19"/>
      <c r="B879" s="18"/>
      <c r="AC879" s="18"/>
      <c r="AD879" s="18"/>
      <c r="AE879" s="18"/>
      <c r="AF879" s="18"/>
    </row>
    <row r="880">
      <c r="A880" s="19"/>
      <c r="B880" s="18"/>
      <c r="AC880" s="18"/>
      <c r="AD880" s="18"/>
      <c r="AE880" s="18"/>
      <c r="AF880" s="18"/>
    </row>
    <row r="881">
      <c r="A881" s="19"/>
      <c r="B881" s="18"/>
      <c r="AC881" s="18"/>
      <c r="AD881" s="18"/>
      <c r="AE881" s="18"/>
      <c r="AF881" s="18"/>
    </row>
    <row r="882">
      <c r="A882" s="19"/>
      <c r="B882" s="18"/>
      <c r="AC882" s="18"/>
      <c r="AD882" s="18"/>
      <c r="AE882" s="18"/>
      <c r="AF882" s="18"/>
    </row>
    <row r="883">
      <c r="A883" s="19"/>
      <c r="B883" s="18"/>
      <c r="AC883" s="18"/>
      <c r="AD883" s="18"/>
      <c r="AE883" s="18"/>
      <c r="AF883" s="18"/>
    </row>
    <row r="884">
      <c r="A884" s="19"/>
      <c r="B884" s="18"/>
      <c r="AC884" s="18"/>
      <c r="AD884" s="18"/>
      <c r="AE884" s="18"/>
      <c r="AF884" s="18"/>
    </row>
    <row r="885">
      <c r="A885" s="19"/>
      <c r="B885" s="18"/>
      <c r="AC885" s="18"/>
      <c r="AD885" s="18"/>
      <c r="AE885" s="18"/>
      <c r="AF885" s="18"/>
    </row>
    <row r="886">
      <c r="A886" s="19"/>
      <c r="B886" s="18"/>
      <c r="AC886" s="18"/>
      <c r="AD886" s="18"/>
      <c r="AE886" s="18"/>
      <c r="AF886" s="18"/>
    </row>
    <row r="887">
      <c r="A887" s="19"/>
      <c r="B887" s="18"/>
      <c r="AC887" s="18"/>
      <c r="AD887" s="18"/>
      <c r="AE887" s="18"/>
      <c r="AF887" s="18"/>
    </row>
    <row r="888">
      <c r="A888" s="19"/>
      <c r="B888" s="18"/>
      <c r="AC888" s="18"/>
      <c r="AD888" s="18"/>
      <c r="AE888" s="18"/>
      <c r="AF888" s="18"/>
    </row>
    <row r="889">
      <c r="A889" s="19"/>
      <c r="B889" s="18"/>
      <c r="AC889" s="18"/>
      <c r="AD889" s="18"/>
      <c r="AE889" s="18"/>
      <c r="AF889" s="18"/>
    </row>
    <row r="890">
      <c r="A890" s="19"/>
      <c r="B890" s="18"/>
      <c r="AC890" s="18"/>
      <c r="AD890" s="18"/>
      <c r="AE890" s="18"/>
      <c r="AF890" s="18"/>
    </row>
    <row r="891">
      <c r="A891" s="19"/>
      <c r="B891" s="18"/>
      <c r="AC891" s="18"/>
      <c r="AD891" s="18"/>
      <c r="AE891" s="18"/>
      <c r="AF891" s="18"/>
    </row>
    <row r="892">
      <c r="A892" s="19"/>
      <c r="B892" s="18"/>
      <c r="AC892" s="18"/>
      <c r="AD892" s="18"/>
      <c r="AE892" s="18"/>
      <c r="AF892" s="18"/>
    </row>
    <row r="893">
      <c r="A893" s="19"/>
      <c r="B893" s="18"/>
      <c r="AC893" s="18"/>
      <c r="AD893" s="18"/>
      <c r="AE893" s="18"/>
      <c r="AF893" s="18"/>
    </row>
    <row r="894">
      <c r="A894" s="19"/>
      <c r="B894" s="18"/>
      <c r="AC894" s="18"/>
      <c r="AD894" s="18"/>
      <c r="AE894" s="18"/>
      <c r="AF894" s="18"/>
    </row>
    <row r="895">
      <c r="A895" s="19"/>
      <c r="B895" s="18"/>
      <c r="AC895" s="18"/>
      <c r="AD895" s="18"/>
      <c r="AE895" s="18"/>
      <c r="AF895" s="18"/>
    </row>
    <row r="896">
      <c r="A896" s="19"/>
      <c r="B896" s="18"/>
      <c r="AC896" s="18"/>
      <c r="AD896" s="18"/>
      <c r="AE896" s="18"/>
      <c r="AF896" s="18"/>
    </row>
    <row r="897">
      <c r="A897" s="19"/>
      <c r="B897" s="18"/>
      <c r="AC897" s="18"/>
      <c r="AD897" s="18"/>
      <c r="AE897" s="18"/>
      <c r="AF897" s="18"/>
    </row>
    <row r="898">
      <c r="A898" s="19"/>
      <c r="B898" s="18"/>
      <c r="AC898" s="18"/>
      <c r="AD898" s="18"/>
      <c r="AE898" s="18"/>
      <c r="AF898" s="18"/>
    </row>
    <row r="899">
      <c r="A899" s="19"/>
      <c r="B899" s="18"/>
      <c r="AC899" s="18"/>
      <c r="AD899" s="18"/>
      <c r="AE899" s="18"/>
      <c r="AF899" s="18"/>
    </row>
    <row r="900">
      <c r="A900" s="19"/>
      <c r="B900" s="18"/>
      <c r="AC900" s="18"/>
      <c r="AD900" s="18"/>
      <c r="AE900" s="18"/>
      <c r="AF900" s="18"/>
    </row>
    <row r="901">
      <c r="A901" s="19"/>
      <c r="B901" s="18"/>
      <c r="AC901" s="18"/>
      <c r="AD901" s="18"/>
      <c r="AE901" s="18"/>
      <c r="AF901" s="18"/>
    </row>
    <row r="902">
      <c r="A902" s="19"/>
      <c r="B902" s="18"/>
      <c r="AC902" s="18"/>
      <c r="AD902" s="18"/>
      <c r="AE902" s="18"/>
      <c r="AF902" s="18"/>
    </row>
    <row r="903">
      <c r="A903" s="19"/>
      <c r="B903" s="18"/>
      <c r="AC903" s="18"/>
      <c r="AD903" s="18"/>
      <c r="AE903" s="18"/>
      <c r="AF903" s="18"/>
    </row>
    <row r="904">
      <c r="A904" s="19"/>
      <c r="B904" s="18"/>
      <c r="AC904" s="18"/>
      <c r="AD904" s="18"/>
      <c r="AE904" s="18"/>
      <c r="AF904" s="18"/>
    </row>
    <row r="905">
      <c r="A905" s="19"/>
      <c r="B905" s="18"/>
      <c r="AC905" s="18"/>
      <c r="AD905" s="18"/>
      <c r="AE905" s="18"/>
      <c r="AF905" s="18"/>
    </row>
    <row r="906">
      <c r="A906" s="19"/>
      <c r="B906" s="18"/>
      <c r="AC906" s="18"/>
      <c r="AD906" s="18"/>
      <c r="AE906" s="18"/>
      <c r="AF906" s="18"/>
    </row>
    <row r="907">
      <c r="A907" s="19"/>
      <c r="B907" s="18"/>
      <c r="AC907" s="18"/>
      <c r="AD907" s="18"/>
      <c r="AE907" s="18"/>
      <c r="AF907" s="18"/>
    </row>
    <row r="908">
      <c r="A908" s="19"/>
      <c r="B908" s="18"/>
      <c r="AC908" s="18"/>
      <c r="AD908" s="18"/>
      <c r="AE908" s="18"/>
      <c r="AF908" s="18"/>
    </row>
    <row r="909">
      <c r="A909" s="19"/>
      <c r="B909" s="18"/>
      <c r="AC909" s="18"/>
      <c r="AD909" s="18"/>
      <c r="AE909" s="18"/>
      <c r="AF909" s="18"/>
    </row>
    <row r="910">
      <c r="A910" s="19"/>
      <c r="B910" s="18"/>
      <c r="AC910" s="18"/>
      <c r="AD910" s="18"/>
      <c r="AE910" s="18"/>
      <c r="AF910" s="18"/>
    </row>
    <row r="911">
      <c r="A911" s="19"/>
      <c r="B911" s="18"/>
      <c r="AC911" s="18"/>
      <c r="AD911" s="18"/>
      <c r="AE911" s="18"/>
      <c r="AF911" s="18"/>
    </row>
    <row r="912">
      <c r="A912" s="19"/>
      <c r="B912" s="18"/>
      <c r="AC912" s="18"/>
      <c r="AD912" s="18"/>
      <c r="AE912" s="18"/>
      <c r="AF912" s="18"/>
    </row>
    <row r="913">
      <c r="A913" s="19"/>
      <c r="B913" s="18"/>
      <c r="AC913" s="18"/>
      <c r="AD913" s="18"/>
      <c r="AE913" s="18"/>
      <c r="AF913" s="18"/>
    </row>
    <row r="914">
      <c r="A914" s="19"/>
      <c r="B914" s="18"/>
      <c r="AC914" s="18"/>
      <c r="AD914" s="18"/>
      <c r="AE914" s="18"/>
      <c r="AF914" s="18"/>
    </row>
    <row r="915">
      <c r="A915" s="19"/>
      <c r="B915" s="18"/>
      <c r="AC915" s="18"/>
      <c r="AD915" s="18"/>
      <c r="AE915" s="18"/>
      <c r="AF915" s="18"/>
    </row>
    <row r="916">
      <c r="A916" s="19"/>
      <c r="B916" s="18"/>
      <c r="AC916" s="18"/>
      <c r="AD916" s="18"/>
      <c r="AE916" s="18"/>
      <c r="AF916" s="18"/>
    </row>
    <row r="917">
      <c r="A917" s="19"/>
      <c r="B917" s="18"/>
      <c r="AC917" s="18"/>
      <c r="AD917" s="18"/>
      <c r="AE917" s="18"/>
      <c r="AF917" s="18"/>
    </row>
    <row r="918">
      <c r="A918" s="19"/>
      <c r="B918" s="18"/>
      <c r="AC918" s="18"/>
      <c r="AD918" s="18"/>
      <c r="AE918" s="18"/>
      <c r="AF918" s="18"/>
    </row>
    <row r="919">
      <c r="A919" s="19"/>
      <c r="B919" s="18"/>
      <c r="AC919" s="18"/>
      <c r="AD919" s="18"/>
      <c r="AE919" s="18"/>
      <c r="AF919" s="18"/>
    </row>
    <row r="920">
      <c r="A920" s="19"/>
      <c r="B920" s="18"/>
      <c r="AC920" s="18"/>
      <c r="AD920" s="18"/>
      <c r="AE920" s="18"/>
      <c r="AF920" s="18"/>
    </row>
    <row r="921">
      <c r="A921" s="19"/>
      <c r="B921" s="18"/>
      <c r="AC921" s="18"/>
      <c r="AD921" s="18"/>
      <c r="AE921" s="18"/>
      <c r="AF921" s="18"/>
    </row>
    <row r="922">
      <c r="A922" s="19"/>
      <c r="B922" s="18"/>
      <c r="AC922" s="18"/>
      <c r="AD922" s="18"/>
      <c r="AE922" s="18"/>
      <c r="AF922" s="18"/>
    </row>
    <row r="923">
      <c r="A923" s="19"/>
      <c r="B923" s="18"/>
      <c r="AC923" s="18"/>
      <c r="AD923" s="18"/>
      <c r="AE923" s="18"/>
      <c r="AF923" s="18"/>
    </row>
    <row r="924">
      <c r="A924" s="19"/>
      <c r="B924" s="18"/>
      <c r="AC924" s="18"/>
      <c r="AD924" s="18"/>
      <c r="AE924" s="18"/>
      <c r="AF924" s="18"/>
    </row>
    <row r="925">
      <c r="A925" s="19"/>
      <c r="B925" s="18"/>
      <c r="AC925" s="18"/>
      <c r="AD925" s="18"/>
      <c r="AE925" s="18"/>
      <c r="AF925" s="18"/>
    </row>
    <row r="926">
      <c r="A926" s="19"/>
      <c r="B926" s="18"/>
      <c r="AC926" s="18"/>
      <c r="AD926" s="18"/>
      <c r="AE926" s="18"/>
      <c r="AF926" s="18"/>
    </row>
    <row r="927">
      <c r="A927" s="19"/>
      <c r="B927" s="18"/>
      <c r="AC927" s="18"/>
      <c r="AD927" s="18"/>
      <c r="AE927" s="18"/>
      <c r="AF927" s="18"/>
    </row>
    <row r="928">
      <c r="A928" s="19"/>
      <c r="B928" s="18"/>
      <c r="AC928" s="18"/>
      <c r="AD928" s="18"/>
      <c r="AE928" s="18"/>
      <c r="AF928" s="18"/>
    </row>
    <row r="929">
      <c r="A929" s="19"/>
      <c r="B929" s="18"/>
      <c r="AC929" s="18"/>
      <c r="AD929" s="18"/>
      <c r="AE929" s="18"/>
      <c r="AF929" s="18"/>
    </row>
    <row r="930">
      <c r="A930" s="19"/>
      <c r="B930" s="18"/>
      <c r="AC930" s="18"/>
      <c r="AD930" s="18"/>
      <c r="AE930" s="18"/>
      <c r="AF930" s="18"/>
    </row>
    <row r="931">
      <c r="A931" s="19"/>
      <c r="B931" s="18"/>
      <c r="AC931" s="18"/>
      <c r="AD931" s="18"/>
      <c r="AE931" s="18"/>
      <c r="AF931" s="18"/>
    </row>
    <row r="932">
      <c r="A932" s="19"/>
      <c r="B932" s="18"/>
      <c r="AC932" s="18"/>
      <c r="AD932" s="18"/>
      <c r="AE932" s="18"/>
      <c r="AF932" s="18"/>
    </row>
    <row r="933">
      <c r="A933" s="19"/>
      <c r="B933" s="18"/>
      <c r="AC933" s="18"/>
      <c r="AD933" s="18"/>
      <c r="AE933" s="18"/>
      <c r="AF933" s="18"/>
    </row>
    <row r="934">
      <c r="A934" s="19"/>
      <c r="B934" s="18"/>
      <c r="AC934" s="18"/>
      <c r="AD934" s="18"/>
      <c r="AE934" s="18"/>
      <c r="AF934" s="18"/>
    </row>
    <row r="935">
      <c r="A935" s="19"/>
      <c r="B935" s="18"/>
      <c r="AC935" s="18"/>
      <c r="AD935" s="18"/>
      <c r="AE935" s="18"/>
      <c r="AF935" s="18"/>
    </row>
    <row r="936">
      <c r="A936" s="19"/>
      <c r="B936" s="18"/>
      <c r="AC936" s="18"/>
      <c r="AD936" s="18"/>
      <c r="AE936" s="18"/>
      <c r="AF936" s="18"/>
    </row>
    <row r="937">
      <c r="A937" s="19"/>
      <c r="B937" s="18"/>
      <c r="AC937" s="18"/>
      <c r="AD937" s="18"/>
      <c r="AE937" s="18"/>
      <c r="AF937" s="18"/>
    </row>
    <row r="938">
      <c r="A938" s="19"/>
      <c r="B938" s="18"/>
      <c r="AC938" s="18"/>
      <c r="AD938" s="18"/>
      <c r="AE938" s="18"/>
      <c r="AF938" s="18"/>
    </row>
    <row r="939">
      <c r="A939" s="19"/>
      <c r="B939" s="18"/>
      <c r="AC939" s="18"/>
      <c r="AD939" s="18"/>
      <c r="AE939" s="18"/>
      <c r="AF939" s="18"/>
    </row>
    <row r="940">
      <c r="A940" s="19"/>
      <c r="B940" s="18"/>
      <c r="AC940" s="18"/>
      <c r="AD940" s="18"/>
      <c r="AE940" s="18"/>
      <c r="AF940" s="18"/>
    </row>
    <row r="941">
      <c r="A941" s="19"/>
      <c r="B941" s="18"/>
      <c r="AC941" s="18"/>
      <c r="AD941" s="18"/>
      <c r="AE941" s="18"/>
      <c r="AF941" s="18"/>
    </row>
    <row r="942">
      <c r="A942" s="19"/>
      <c r="B942" s="18"/>
      <c r="AC942" s="18"/>
      <c r="AD942" s="18"/>
      <c r="AE942" s="18"/>
      <c r="AF942" s="18"/>
    </row>
    <row r="943">
      <c r="A943" s="19"/>
      <c r="B943" s="18"/>
      <c r="AC943" s="18"/>
      <c r="AD943" s="18"/>
      <c r="AE943" s="18"/>
      <c r="AF943" s="18"/>
    </row>
    <row r="944">
      <c r="A944" s="19"/>
      <c r="B944" s="18"/>
      <c r="AC944" s="18"/>
      <c r="AD944" s="18"/>
      <c r="AE944" s="18"/>
      <c r="AF944" s="18"/>
    </row>
    <row r="945">
      <c r="A945" s="19"/>
      <c r="B945" s="18"/>
      <c r="AC945" s="18"/>
      <c r="AD945" s="18"/>
      <c r="AE945" s="18"/>
      <c r="AF945" s="18"/>
    </row>
    <row r="946">
      <c r="A946" s="19"/>
      <c r="B946" s="18"/>
      <c r="AC946" s="18"/>
      <c r="AD946" s="18"/>
      <c r="AE946" s="18"/>
      <c r="AF946" s="18"/>
    </row>
    <row r="947">
      <c r="A947" s="19"/>
      <c r="B947" s="18"/>
      <c r="AC947" s="18"/>
      <c r="AD947" s="18"/>
      <c r="AE947" s="18"/>
      <c r="AF947" s="18"/>
    </row>
    <row r="948">
      <c r="A948" s="19"/>
      <c r="B948" s="18"/>
      <c r="AC948" s="18"/>
      <c r="AD948" s="18"/>
      <c r="AE948" s="18"/>
      <c r="AF948" s="18"/>
    </row>
    <row r="949">
      <c r="A949" s="19"/>
      <c r="B949" s="18"/>
      <c r="AC949" s="18"/>
      <c r="AD949" s="18"/>
      <c r="AE949" s="18"/>
      <c r="AF949" s="18"/>
    </row>
    <row r="950">
      <c r="A950" s="19"/>
      <c r="B950" s="18"/>
      <c r="AC950" s="18"/>
      <c r="AD950" s="18"/>
      <c r="AE950" s="18"/>
      <c r="AF950" s="18"/>
    </row>
    <row r="951">
      <c r="A951" s="19"/>
      <c r="B951" s="18"/>
      <c r="AC951" s="18"/>
      <c r="AD951" s="18"/>
      <c r="AE951" s="18"/>
      <c r="AF951" s="18"/>
    </row>
    <row r="952">
      <c r="A952" s="19"/>
      <c r="B952" s="18"/>
      <c r="AC952" s="18"/>
      <c r="AD952" s="18"/>
      <c r="AE952" s="18"/>
      <c r="AF952" s="18"/>
    </row>
    <row r="953">
      <c r="A953" s="19"/>
      <c r="B953" s="18"/>
      <c r="AC953" s="18"/>
      <c r="AD953" s="18"/>
      <c r="AE953" s="18"/>
      <c r="AF953" s="18"/>
    </row>
    <row r="954">
      <c r="A954" s="19"/>
      <c r="B954" s="18"/>
      <c r="AC954" s="18"/>
      <c r="AD954" s="18"/>
      <c r="AE954" s="18"/>
      <c r="AF954" s="18"/>
    </row>
    <row r="955">
      <c r="A955" s="19"/>
      <c r="B955" s="18"/>
      <c r="AC955" s="18"/>
      <c r="AD955" s="18"/>
      <c r="AE955" s="18"/>
      <c r="AF955" s="18"/>
    </row>
    <row r="956">
      <c r="A956" s="19"/>
      <c r="B956" s="18"/>
      <c r="AC956" s="18"/>
      <c r="AD956" s="18"/>
      <c r="AE956" s="18"/>
      <c r="AF956" s="18"/>
    </row>
    <row r="957">
      <c r="A957" s="19"/>
      <c r="B957" s="18"/>
      <c r="AC957" s="18"/>
      <c r="AD957" s="18"/>
      <c r="AE957" s="18"/>
      <c r="AF957" s="18"/>
    </row>
    <row r="958">
      <c r="A958" s="19"/>
      <c r="B958" s="18"/>
      <c r="AC958" s="18"/>
      <c r="AD958" s="18"/>
      <c r="AE958" s="18"/>
      <c r="AF958" s="18"/>
    </row>
    <row r="959">
      <c r="A959" s="19"/>
      <c r="B959" s="18"/>
      <c r="AC959" s="18"/>
      <c r="AD959" s="18"/>
      <c r="AE959" s="18"/>
      <c r="AF959" s="18"/>
    </row>
    <row r="960">
      <c r="A960" s="19"/>
      <c r="B960" s="18"/>
      <c r="AC960" s="18"/>
      <c r="AD960" s="18"/>
      <c r="AE960" s="18"/>
      <c r="AF960" s="18"/>
    </row>
    <row r="961">
      <c r="A961" s="19"/>
      <c r="B961" s="18"/>
      <c r="AC961" s="18"/>
      <c r="AD961" s="18"/>
      <c r="AE961" s="18"/>
      <c r="AF961" s="18"/>
    </row>
    <row r="962">
      <c r="A962" s="19"/>
      <c r="B962" s="18"/>
      <c r="AC962" s="18"/>
      <c r="AD962" s="18"/>
      <c r="AE962" s="18"/>
      <c r="AF962" s="18"/>
    </row>
    <row r="963">
      <c r="A963" s="19"/>
      <c r="B963" s="18"/>
      <c r="AC963" s="18"/>
      <c r="AD963" s="18"/>
      <c r="AE963" s="18"/>
      <c r="AF963" s="18"/>
    </row>
    <row r="964">
      <c r="A964" s="19"/>
      <c r="B964" s="18"/>
      <c r="AC964" s="18"/>
      <c r="AD964" s="18"/>
      <c r="AE964" s="18"/>
      <c r="AF964" s="18"/>
    </row>
    <row r="965">
      <c r="A965" s="19"/>
      <c r="B965" s="18"/>
      <c r="AC965" s="18"/>
      <c r="AD965" s="18"/>
      <c r="AE965" s="18"/>
      <c r="AF965" s="18"/>
    </row>
    <row r="966">
      <c r="A966" s="19"/>
      <c r="B966" s="18"/>
      <c r="AC966" s="18"/>
      <c r="AD966" s="18"/>
      <c r="AE966" s="18"/>
      <c r="AF966" s="18"/>
    </row>
    <row r="967">
      <c r="A967" s="19"/>
      <c r="B967" s="18"/>
      <c r="AC967" s="18"/>
      <c r="AD967" s="18"/>
      <c r="AE967" s="18"/>
      <c r="AF967" s="18"/>
    </row>
    <row r="968">
      <c r="A968" s="19"/>
      <c r="B968" s="18"/>
      <c r="AC968" s="18"/>
      <c r="AD968" s="18"/>
      <c r="AE968" s="18"/>
      <c r="AF968" s="18"/>
    </row>
    <row r="969">
      <c r="A969" s="19"/>
      <c r="B969" s="18"/>
      <c r="AC969" s="18"/>
      <c r="AD969" s="18"/>
      <c r="AE969" s="18"/>
      <c r="AF969" s="18"/>
    </row>
    <row r="970">
      <c r="A970" s="19"/>
      <c r="B970" s="18"/>
      <c r="AC970" s="18"/>
      <c r="AD970" s="18"/>
      <c r="AE970" s="18"/>
      <c r="AF970" s="18"/>
    </row>
    <row r="971">
      <c r="A971" s="19"/>
      <c r="B971" s="18"/>
      <c r="AC971" s="18"/>
      <c r="AD971" s="18"/>
      <c r="AE971" s="18"/>
      <c r="AF971" s="18"/>
    </row>
    <row r="972">
      <c r="A972" s="19"/>
      <c r="B972" s="18"/>
      <c r="AC972" s="18"/>
      <c r="AD972" s="18"/>
      <c r="AE972" s="18"/>
      <c r="AF972" s="18"/>
    </row>
    <row r="973">
      <c r="A973" s="19"/>
      <c r="B973" s="18"/>
      <c r="AC973" s="18"/>
      <c r="AD973" s="18"/>
      <c r="AE973" s="18"/>
      <c r="AF973" s="18"/>
    </row>
    <row r="974">
      <c r="A974" s="19"/>
      <c r="B974" s="18"/>
      <c r="AC974" s="18"/>
      <c r="AD974" s="18"/>
      <c r="AE974" s="18"/>
      <c r="AF974" s="18"/>
    </row>
    <row r="975">
      <c r="A975" s="19"/>
      <c r="B975" s="18"/>
      <c r="AC975" s="18"/>
      <c r="AD975" s="18"/>
      <c r="AE975" s="18"/>
      <c r="AF975" s="18"/>
    </row>
    <row r="976">
      <c r="A976" s="19"/>
      <c r="B976" s="18"/>
      <c r="AC976" s="18"/>
      <c r="AD976" s="18"/>
      <c r="AE976" s="18"/>
      <c r="AF976" s="18"/>
    </row>
    <row r="977">
      <c r="A977" s="19"/>
      <c r="B977" s="18"/>
      <c r="AC977" s="18"/>
      <c r="AD977" s="18"/>
      <c r="AE977" s="18"/>
      <c r="AF977" s="18"/>
    </row>
    <row r="978">
      <c r="A978" s="19"/>
      <c r="B978" s="18"/>
      <c r="AC978" s="18"/>
      <c r="AD978" s="18"/>
      <c r="AE978" s="18"/>
      <c r="AF978" s="18"/>
    </row>
    <row r="979">
      <c r="A979" s="19"/>
      <c r="B979" s="18"/>
      <c r="AC979" s="18"/>
      <c r="AD979" s="18"/>
      <c r="AE979" s="18"/>
      <c r="AF979" s="18"/>
    </row>
    <row r="980">
      <c r="A980" s="19"/>
      <c r="B980" s="18"/>
      <c r="AC980" s="18"/>
      <c r="AD980" s="18"/>
      <c r="AE980" s="18"/>
      <c r="AF980" s="18"/>
    </row>
    <row r="981">
      <c r="A981" s="19"/>
      <c r="B981" s="18"/>
      <c r="AC981" s="18"/>
      <c r="AD981" s="18"/>
      <c r="AE981" s="18"/>
      <c r="AF981" s="18"/>
    </row>
    <row r="982">
      <c r="A982" s="19"/>
      <c r="B982" s="18"/>
      <c r="AC982" s="18"/>
      <c r="AD982" s="18"/>
      <c r="AE982" s="18"/>
      <c r="AF982" s="18"/>
    </row>
    <row r="983">
      <c r="A983" s="19"/>
      <c r="B983" s="18"/>
      <c r="AC983" s="18"/>
      <c r="AD983" s="18"/>
      <c r="AE983" s="18"/>
      <c r="AF983" s="18"/>
    </row>
    <row r="984">
      <c r="A984" s="19"/>
      <c r="B984" s="18"/>
      <c r="AC984" s="18"/>
      <c r="AD984" s="18"/>
      <c r="AE984" s="18"/>
      <c r="AF984" s="18"/>
    </row>
    <row r="985">
      <c r="A985" s="19"/>
      <c r="B985" s="18"/>
      <c r="AC985" s="18"/>
      <c r="AD985" s="18"/>
      <c r="AE985" s="18"/>
      <c r="AF985" s="18"/>
    </row>
    <row r="986">
      <c r="A986" s="19"/>
      <c r="B986" s="18"/>
      <c r="AC986" s="18"/>
      <c r="AD986" s="18"/>
      <c r="AE986" s="18"/>
      <c r="AF986" s="18"/>
    </row>
    <row r="987">
      <c r="A987" s="19"/>
      <c r="B987" s="18"/>
      <c r="AC987" s="18"/>
      <c r="AD987" s="18"/>
      <c r="AE987" s="18"/>
      <c r="AF987" s="18"/>
    </row>
    <row r="988">
      <c r="A988" s="19"/>
      <c r="B988" s="18"/>
      <c r="AC988" s="18"/>
      <c r="AD988" s="18"/>
      <c r="AE988" s="18"/>
      <c r="AF988" s="18"/>
    </row>
    <row r="989">
      <c r="A989" s="19"/>
      <c r="B989" s="18"/>
      <c r="AC989" s="18"/>
      <c r="AD989" s="18"/>
      <c r="AE989" s="18"/>
      <c r="AF989" s="18"/>
    </row>
    <row r="990">
      <c r="A990" s="19"/>
      <c r="B990" s="18"/>
      <c r="AC990" s="18"/>
      <c r="AD990" s="18"/>
      <c r="AE990" s="18"/>
      <c r="AF990" s="18"/>
    </row>
    <row r="991">
      <c r="A991" s="19"/>
      <c r="B991" s="18"/>
      <c r="AC991" s="18"/>
      <c r="AD991" s="18"/>
      <c r="AE991" s="18"/>
      <c r="AF991" s="18"/>
    </row>
    <row r="992">
      <c r="A992" s="19"/>
      <c r="B992" s="18"/>
      <c r="AC992" s="18"/>
      <c r="AD992" s="18"/>
      <c r="AE992" s="18"/>
      <c r="AF992" s="18"/>
    </row>
    <row r="993">
      <c r="A993" s="19"/>
      <c r="B993" s="18"/>
      <c r="AC993" s="18"/>
      <c r="AD993" s="18"/>
      <c r="AE993" s="18"/>
      <c r="AF993" s="18"/>
    </row>
    <row r="994">
      <c r="A994" s="19"/>
      <c r="B994" s="18"/>
      <c r="AC994" s="18"/>
      <c r="AD994" s="18"/>
      <c r="AE994" s="18"/>
      <c r="AF994" s="18"/>
    </row>
    <row r="995">
      <c r="A995" s="19"/>
      <c r="B995" s="18"/>
      <c r="AC995" s="18"/>
      <c r="AD995" s="18"/>
      <c r="AE995" s="18"/>
      <c r="AF995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9" width="12.63"/>
    <col customWidth="1" min="11" max="11" width="15.63"/>
    <col customWidth="1" min="18" max="18" width="20.0"/>
  </cols>
  <sheetData>
    <row r="1">
      <c r="A1" s="20" t="s">
        <v>167</v>
      </c>
      <c r="B1" s="21" t="s">
        <v>168</v>
      </c>
      <c r="C1" s="21" t="s">
        <v>169</v>
      </c>
      <c r="D1" s="21" t="s">
        <v>131</v>
      </c>
      <c r="E1" s="22" t="s">
        <v>170</v>
      </c>
      <c r="F1" s="21" t="s">
        <v>132</v>
      </c>
      <c r="G1" s="22" t="s">
        <v>170</v>
      </c>
      <c r="H1" s="21" t="s">
        <v>171</v>
      </c>
      <c r="I1" s="22" t="s">
        <v>170</v>
      </c>
      <c r="J1" s="22" t="s">
        <v>172</v>
      </c>
      <c r="K1" s="23" t="s">
        <v>173</v>
      </c>
      <c r="L1" s="24" t="s">
        <v>174</v>
      </c>
      <c r="M1" s="22" t="s">
        <v>175</v>
      </c>
      <c r="N1" s="22" t="s">
        <v>176</v>
      </c>
      <c r="O1" s="22" t="s">
        <v>177</v>
      </c>
      <c r="P1" s="22"/>
      <c r="Q1" s="22" t="s">
        <v>178</v>
      </c>
      <c r="R1" s="24" t="s">
        <v>179</v>
      </c>
      <c r="S1" s="25" t="s">
        <v>180</v>
      </c>
      <c r="T1" s="25" t="s">
        <v>181</v>
      </c>
      <c r="U1" s="26"/>
      <c r="V1" s="26"/>
      <c r="W1" s="26"/>
      <c r="X1" s="26"/>
      <c r="Y1" s="26"/>
      <c r="Z1" s="26"/>
      <c r="AA1" s="26"/>
    </row>
    <row r="2">
      <c r="A2" s="27"/>
      <c r="B2" s="28">
        <v>14.3</v>
      </c>
      <c r="C2" s="29">
        <v>5.0</v>
      </c>
      <c r="D2" s="29" t="s">
        <v>182</v>
      </c>
      <c r="E2" s="30">
        <v>1310.0</v>
      </c>
      <c r="F2" s="29" t="s">
        <v>183</v>
      </c>
      <c r="G2" s="30">
        <v>613.0</v>
      </c>
      <c r="H2" s="31" t="s">
        <v>184</v>
      </c>
      <c r="I2" s="30">
        <v>388.0</v>
      </c>
      <c r="J2" s="32">
        <f>SUM(E2,G2,I2)</f>
        <v>2311</v>
      </c>
      <c r="K2" s="33">
        <v>485.0</v>
      </c>
      <c r="L2" s="34">
        <v>700.0</v>
      </c>
      <c r="M2" s="35">
        <v>350.0</v>
      </c>
      <c r="N2" s="32">
        <f t="shared" ref="N2:N4" si="1">SUM(J2:M2)</f>
        <v>3846</v>
      </c>
      <c r="O2" s="36">
        <v>1350.0</v>
      </c>
      <c r="P2" s="37"/>
      <c r="Q2" s="37">
        <f>SUM($J$2:$M$2,O2)</f>
        <v>5196</v>
      </c>
      <c r="R2" s="37">
        <f t="shared" ref="R2:R3" si="2">Q2*1.9</f>
        <v>9872.4</v>
      </c>
      <c r="S2" s="37">
        <f t="shared" ref="S2:S3" si="3">Q2*1.75</f>
        <v>9093</v>
      </c>
      <c r="T2" s="37">
        <v>10171.75</v>
      </c>
      <c r="U2" s="26">
        <f t="shared" ref="U2:U3" si="4">T2/1.03</f>
        <v>9875.485437</v>
      </c>
      <c r="V2" s="26"/>
      <c r="W2" s="26"/>
      <c r="X2" s="26"/>
      <c r="Y2" s="26"/>
      <c r="Z2" s="26"/>
      <c r="AA2" s="26"/>
    </row>
    <row r="3">
      <c r="J3" s="38">
        <v>1102.0</v>
      </c>
      <c r="K3" s="32">
        <v>350.0</v>
      </c>
      <c r="L3" s="7">
        <v>234.0</v>
      </c>
      <c r="M3" s="32">
        <v>160.0</v>
      </c>
      <c r="N3" s="32">
        <f t="shared" si="1"/>
        <v>1846</v>
      </c>
      <c r="O3" s="39">
        <v>450.0</v>
      </c>
      <c r="Q3" s="37">
        <f>SUM(J3:M3,O3)</f>
        <v>2296</v>
      </c>
      <c r="R3" s="37">
        <f t="shared" si="2"/>
        <v>4362.4</v>
      </c>
      <c r="S3" s="37">
        <f t="shared" si="3"/>
        <v>4018</v>
      </c>
      <c r="T3" s="40">
        <v>4811.0</v>
      </c>
      <c r="U3" s="26">
        <f t="shared" si="4"/>
        <v>4670.873786</v>
      </c>
    </row>
    <row r="4">
      <c r="A4" s="27"/>
      <c r="B4" s="28"/>
      <c r="C4" s="29"/>
      <c r="D4" s="29"/>
      <c r="E4" s="30"/>
      <c r="F4" s="29"/>
      <c r="G4" s="30"/>
      <c r="H4" s="31"/>
      <c r="I4" s="30"/>
      <c r="J4" s="32"/>
      <c r="K4" s="33"/>
      <c r="L4" s="35"/>
      <c r="M4" s="32"/>
      <c r="N4" s="32">
        <f t="shared" si="1"/>
        <v>0</v>
      </c>
      <c r="O4" s="30"/>
      <c r="P4" s="41"/>
      <c r="Q4" s="37"/>
      <c r="R4" s="26"/>
      <c r="S4" s="26"/>
      <c r="T4" s="26"/>
      <c r="U4" s="26"/>
      <c r="V4" s="26"/>
      <c r="W4" s="26"/>
      <c r="X4" s="26"/>
      <c r="Y4" s="26"/>
    </row>
  </sheetData>
  <drawing r:id="rId1"/>
</worksheet>
</file>